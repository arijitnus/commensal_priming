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jitm/Documents/Phenotyping/Sanya/Noco_conc_2/"/>
    </mc:Choice>
  </mc:AlternateContent>
  <xr:revisionPtr revIDLastSave="0" documentId="13_ncr:1_{03529F91-9F0A-9644-A57B-8FA035DD4297}" xr6:coauthVersionLast="47" xr6:coauthVersionMax="47" xr10:uidLastSave="{00000000-0000-0000-0000-000000000000}"/>
  <bookViews>
    <workbookView xWindow="0" yWindow="760" windowWidth="34560" windowHeight="20060" activeTab="2" xr2:uid="{74897981-3350-AF4D-9AC0-BB4D40EE5A5E}"/>
  </bookViews>
  <sheets>
    <sheet name="Sheet1" sheetId="1" r:id="rId1"/>
    <sheet name="Sheet2" sheetId="2" r:id="rId2"/>
    <sheet name="correl_inp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1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2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E3" i="2"/>
  <c r="E4" i="2"/>
  <c r="E5" i="2"/>
  <c r="E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2" i="2"/>
</calcChain>
</file>

<file path=xl/sharedStrings.xml><?xml version="1.0" encoding="utf-8"?>
<sst xmlns="http://schemas.openxmlformats.org/spreadsheetml/2006/main" count="721" uniqueCount="218">
  <si>
    <t>Well Position</t>
  </si>
  <si>
    <t>CT</t>
  </si>
  <si>
    <t>A1</t>
  </si>
  <si>
    <t>50-R1-1</t>
  </si>
  <si>
    <t>At</t>
  </si>
  <si>
    <t>A2</t>
  </si>
  <si>
    <t>A3</t>
  </si>
  <si>
    <t>50-R1-2</t>
  </si>
  <si>
    <t>A4</t>
  </si>
  <si>
    <t>A5</t>
  </si>
  <si>
    <t>50-R1-3</t>
  </si>
  <si>
    <t>A6</t>
  </si>
  <si>
    <t>A7</t>
  </si>
  <si>
    <t>50-R1-4</t>
  </si>
  <si>
    <t>A8</t>
  </si>
  <si>
    <t>A9</t>
  </si>
  <si>
    <t>50-R1-5</t>
  </si>
  <si>
    <t>A10</t>
  </si>
  <si>
    <t>A11</t>
  </si>
  <si>
    <t>50-R1-6</t>
  </si>
  <si>
    <t>A12</t>
  </si>
  <si>
    <t>A13</t>
  </si>
  <si>
    <t>50-R2-1</t>
  </si>
  <si>
    <t>A14</t>
  </si>
  <si>
    <t>A15</t>
  </si>
  <si>
    <t>50-R2-2</t>
  </si>
  <si>
    <t>A16</t>
  </si>
  <si>
    <t>A17</t>
  </si>
  <si>
    <t>50-R2-3</t>
  </si>
  <si>
    <t>A18</t>
  </si>
  <si>
    <t>A19</t>
  </si>
  <si>
    <t>50-R2-4</t>
  </si>
  <si>
    <t>A20</t>
  </si>
  <si>
    <t>A21</t>
  </si>
  <si>
    <t>50-R2-5</t>
  </si>
  <si>
    <t>A22</t>
  </si>
  <si>
    <t>A24</t>
  </si>
  <si>
    <t>50-R2-6</t>
  </si>
  <si>
    <t>B2</t>
  </si>
  <si>
    <t>B18</t>
  </si>
  <si>
    <t>B20</t>
  </si>
  <si>
    <t>B22</t>
  </si>
  <si>
    <t>B24</t>
  </si>
  <si>
    <t>C1</t>
  </si>
  <si>
    <t>75-R1-1</t>
  </si>
  <si>
    <t>C2</t>
  </si>
  <si>
    <t>C3</t>
  </si>
  <si>
    <t>75-R1-2</t>
  </si>
  <si>
    <t>C4</t>
  </si>
  <si>
    <t>C5</t>
  </si>
  <si>
    <t>75-R1-3</t>
  </si>
  <si>
    <t>C6</t>
  </si>
  <si>
    <t>C7</t>
  </si>
  <si>
    <t>75-R1-4</t>
  </si>
  <si>
    <t>C8</t>
  </si>
  <si>
    <t>C9</t>
  </si>
  <si>
    <t>75-R1-5</t>
  </si>
  <si>
    <t>C13</t>
  </si>
  <si>
    <t>75-R2-1</t>
  </si>
  <si>
    <t>C15</t>
  </si>
  <si>
    <t>75-R2-2</t>
  </si>
  <si>
    <t>C16</t>
  </si>
  <si>
    <t>C17</t>
  </si>
  <si>
    <t>75-R2-3</t>
  </si>
  <si>
    <t>C18</t>
  </si>
  <si>
    <t>C19</t>
  </si>
  <si>
    <t>75-R2-4</t>
  </si>
  <si>
    <t>C21</t>
  </si>
  <si>
    <t>75-R2-5</t>
  </si>
  <si>
    <t>C22</t>
  </si>
  <si>
    <t>C23</t>
  </si>
  <si>
    <t>75-R2-6</t>
  </si>
  <si>
    <t>D2</t>
  </si>
  <si>
    <t>D10</t>
  </si>
  <si>
    <t>D14</t>
  </si>
  <si>
    <t>D20</t>
  </si>
  <si>
    <t>D24</t>
  </si>
  <si>
    <t>E1</t>
  </si>
  <si>
    <t>150-R1-1</t>
  </si>
  <si>
    <t>E2</t>
  </si>
  <si>
    <t>E3</t>
  </si>
  <si>
    <t>150-R1-2</t>
  </si>
  <si>
    <t>E4</t>
  </si>
  <si>
    <t>E5</t>
  </si>
  <si>
    <t>150-R1-3</t>
  </si>
  <si>
    <t>E6</t>
  </si>
  <si>
    <t>E7</t>
  </si>
  <si>
    <t>150-R1-4</t>
  </si>
  <si>
    <t>E9</t>
  </si>
  <si>
    <t>150-R1-5</t>
  </si>
  <si>
    <t>E10</t>
  </si>
  <si>
    <t>E11</t>
  </si>
  <si>
    <t>150-R1-6</t>
  </si>
  <si>
    <t>E13</t>
  </si>
  <si>
    <t>150-R2-1</t>
  </si>
  <si>
    <t>E15</t>
  </si>
  <si>
    <t>150-R2-2</t>
  </si>
  <si>
    <t>E17</t>
  </si>
  <si>
    <t>150-R2-3</t>
  </si>
  <si>
    <t>E18</t>
  </si>
  <si>
    <t>E19</t>
  </si>
  <si>
    <t>150-R2-4</t>
  </si>
  <si>
    <t>E20</t>
  </si>
  <si>
    <t>E21</t>
  </si>
  <si>
    <t>150-R2-5</t>
  </si>
  <si>
    <t>E22</t>
  </si>
  <si>
    <t>E24</t>
  </si>
  <si>
    <t>150-R2-6</t>
  </si>
  <si>
    <t>F2</t>
  </si>
  <si>
    <t>F8</t>
  </si>
  <si>
    <t>F12</t>
  </si>
  <si>
    <t>F14</t>
  </si>
  <si>
    <t>F16</t>
  </si>
  <si>
    <t>F24</t>
  </si>
  <si>
    <t>G1</t>
  </si>
  <si>
    <t>Hpa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</si>
  <si>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</si>
  <si>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</si>
  <si>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</si>
  <si>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</si>
  <si>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</si>
  <si>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</si>
  <si>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</si>
  <si>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</si>
  <si>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</si>
  <si>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</si>
  <si>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</si>
  <si>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</si>
  <si>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</si>
  <si>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</si>
  <si>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</si>
  <si>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</si>
  <si>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</si>
  <si>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</si>
  <si>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G21</t>
  </si>
  <si>
    <t>G22</t>
  </si>
  <si>
    <t>G23</t>
  </si>
  <si>
    <t>G24</t>
  </si>
  <si>
    <t>H2</t>
  </si>
  <si>
    <t>H8</t>
  </si>
  <si>
    <t>H12</t>
  </si>
  <si>
    <t>H20</t>
  </si>
  <si>
    <t>H24</t>
  </si>
  <si>
    <t>I1</t>
  </si>
  <si>
    <t>I2</t>
  </si>
  <si>
    <t>I3</t>
  </si>
  <si>
    <t>I4</t>
  </si>
  <si>
    <t>I5</t>
  </si>
  <si>
    <t>I7</t>
  </si>
  <si>
    <t>I8</t>
  </si>
  <si>
    <t>I9</t>
  </si>
  <si>
    <t>I10</t>
  </si>
  <si>
    <t>I11</t>
  </si>
  <si>
    <t>75-R1-6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</si>
  <si>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</si>
  <si>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</si>
  <si>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</si>
  <si>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</si>
  <si>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</si>
  <si>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</si>
  <si>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</si>
  <si>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</si>
  <si>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</si>
  <si>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</si>
  <si>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</si>
  <si>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J2</t>
  </si>
  <si>
    <t>J6</t>
  </si>
  <si>
    <t>J10</t>
  </si>
  <si>
    <t>J12</t>
  </si>
  <si>
    <t>J14</t>
  </si>
  <si>
    <t>J18</t>
  </si>
  <si>
    <t>J20</t>
  </si>
  <si>
    <t>J22</t>
  </si>
  <si>
    <t>J24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</si>
  <si>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</si>
  <si>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</si>
  <si>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</si>
  <si>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</si>
  <si>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</si>
  <si>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</si>
  <si>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</si>
  <si>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</si>
  <si>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</si>
  <si>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</si>
  <si>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</si>
  <si>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</si>
  <si>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</si>
  <si>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</si>
  <si>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</si>
  <si>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</si>
  <si>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</si>
  <si>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</si>
  <si>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</si>
  <si>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</si>
  <si>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</si>
  <si>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</si>
  <si>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L2</t>
  </si>
  <si>
    <t>L4</t>
  </si>
  <si>
    <t>L6</t>
  </si>
  <si>
    <t>L20</t>
  </si>
  <si>
    <t>L22</t>
  </si>
  <si>
    <t>L24</t>
  </si>
  <si>
    <t>sample</t>
  </si>
  <si>
    <t>target</t>
  </si>
  <si>
    <t>dCt</t>
  </si>
  <si>
    <t>Hpa_amt</t>
  </si>
  <si>
    <t>well</t>
  </si>
  <si>
    <t>biorep</t>
  </si>
  <si>
    <t>d0</t>
  </si>
  <si>
    <t>d12</t>
  </si>
  <si>
    <t>GP_ratio</t>
  </si>
  <si>
    <t>lgp</t>
  </si>
  <si>
    <t>150</t>
  </si>
  <si>
    <t>50</t>
  </si>
  <si>
    <t>75</t>
  </si>
  <si>
    <t>R1</t>
  </si>
  <si>
    <t>R2</t>
  </si>
  <si>
    <t>sample2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</si>
</sst>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D7E8-57CB-B641-9AE9-D19D921EFADB}">
  <dimension ref="A1:D163"/>
  <sheetViews>
    <sheetView workbookViewId="0">
      <selection activeCell="I13" sqref="I13"/>
    </sheetView>
  </sheetViews>
  <sheetFormatPr baseColWidth="10" defaultRowHeight="16" x14ac:dyDescent="0.2"/>
  <sheetData>
    <row r="1" spans="1:4" x14ac:dyDescent="0.2">
      <c r="A1" t="s">
        <v>0</v>
      </c>
      <c r="B1" t="s">
        <v>202</v>
      </c>
      <c r="C1" t="s">
        <v>203</v>
      </c>
      <c r="D1" t="s">
        <v>1</v>
      </c>
    </row>
    <row r="2" spans="1:4" x14ac:dyDescent="0.2">
      <c r="A2" t="s">
        <v>2</v>
      </c>
      <c r="B2" t="s">
        <v>3</v>
      </c>
      <c r="C2" t="s">
        <v>4</v>
      </c>
      <c r="D2" s="1">
        <v>28.287822723388672</v>
      </c>
    </row>
    <row r="3" spans="1:4" x14ac:dyDescent="0.2">
      <c r="A3" t="s">
        <v>5</v>
      </c>
      <c r="B3" t="s">
        <v>3</v>
      </c>
      <c r="C3" t="s">
        <v>4</v>
      </c>
      <c r="D3" s="1">
        <v>28.113801956176758</v>
      </c>
    </row>
    <row r="4" spans="1:4" x14ac:dyDescent="0.2">
      <c r="A4" t="s">
        <v>6</v>
      </c>
      <c r="B4" t="s">
        <v>7</v>
      </c>
      <c r="C4" t="s">
        <v>4</v>
      </c>
      <c r="D4" s="1">
        <v>27.855070114135742</v>
      </c>
    </row>
    <row r="5" spans="1:4" x14ac:dyDescent="0.2">
      <c r="A5" t="s">
        <v>8</v>
      </c>
      <c r="B5" t="s">
        <v>7</v>
      </c>
      <c r="C5" t="s">
        <v>4</v>
      </c>
      <c r="D5" s="1">
        <v>27.986541748046875</v>
      </c>
    </row>
    <row r="6" spans="1:4" x14ac:dyDescent="0.2">
      <c r="A6" t="s">
        <v>9</v>
      </c>
      <c r="B6" t="s">
        <v>10</v>
      </c>
      <c r="C6" t="s">
        <v>4</v>
      </c>
      <c r="D6" s="1">
        <v>28.467693328857422</v>
      </c>
    </row>
    <row r="7" spans="1:4" x14ac:dyDescent="0.2">
      <c r="A7" t="s">
        <v>11</v>
      </c>
      <c r="B7" t="s">
        <v>10</v>
      </c>
      <c r="C7" t="s">
        <v>4</v>
      </c>
      <c r="D7" s="1">
        <v>28.250782012939453</v>
      </c>
    </row>
    <row r="8" spans="1:4" x14ac:dyDescent="0.2">
      <c r="A8" t="s">
        <v>12</v>
      </c>
      <c r="B8" t="s">
        <v>13</v>
      </c>
      <c r="C8" t="s">
        <v>4</v>
      </c>
      <c r="D8" s="1">
        <v>28.078361511230469</v>
      </c>
    </row>
    <row r="9" spans="1:4" x14ac:dyDescent="0.2">
      <c r="A9" t="s">
        <v>14</v>
      </c>
      <c r="B9" t="s">
        <v>13</v>
      </c>
      <c r="C9" t="s">
        <v>4</v>
      </c>
      <c r="D9" s="1">
        <v>28.227588653564453</v>
      </c>
    </row>
    <row r="10" spans="1:4" x14ac:dyDescent="0.2">
      <c r="A10" t="s">
        <v>15</v>
      </c>
      <c r="B10" t="s">
        <v>16</v>
      </c>
      <c r="C10" t="s">
        <v>4</v>
      </c>
      <c r="D10" s="1">
        <v>28.560394287109375</v>
      </c>
    </row>
    <row r="11" spans="1:4" x14ac:dyDescent="0.2">
      <c r="A11" t="s">
        <v>17</v>
      </c>
      <c r="B11" t="s">
        <v>16</v>
      </c>
      <c r="C11" t="s">
        <v>4</v>
      </c>
      <c r="D11" s="1">
        <v>28.369318008422852</v>
      </c>
    </row>
    <row r="12" spans="1:4" x14ac:dyDescent="0.2">
      <c r="A12" t="s">
        <v>18</v>
      </c>
      <c r="B12" t="s">
        <v>19</v>
      </c>
      <c r="C12" t="s">
        <v>4</v>
      </c>
      <c r="D12" s="1">
        <v>27.846635818481445</v>
      </c>
    </row>
    <row r="13" spans="1:4" x14ac:dyDescent="0.2">
      <c r="A13" t="s">
        <v>20</v>
      </c>
      <c r="B13" t="s">
        <v>19</v>
      </c>
      <c r="C13" t="s">
        <v>4</v>
      </c>
      <c r="D13" s="1">
        <v>27.778125762939453</v>
      </c>
    </row>
    <row r="14" spans="1:4" x14ac:dyDescent="0.2">
      <c r="A14" t="s">
        <v>21</v>
      </c>
      <c r="B14" t="s">
        <v>22</v>
      </c>
      <c r="C14" t="s">
        <v>4</v>
      </c>
      <c r="D14" s="1">
        <v>28.693439483642578</v>
      </c>
    </row>
    <row r="15" spans="1:4" x14ac:dyDescent="0.2">
      <c r="A15" t="s">
        <v>23</v>
      </c>
      <c r="B15" t="s">
        <v>22</v>
      </c>
      <c r="C15" t="s">
        <v>4</v>
      </c>
      <c r="D15" s="1">
        <v>28.305349349975586</v>
      </c>
    </row>
    <row r="16" spans="1:4" x14ac:dyDescent="0.2">
      <c r="A16" t="s">
        <v>24</v>
      </c>
      <c r="B16" t="s">
        <v>25</v>
      </c>
      <c r="C16" t="s">
        <v>4</v>
      </c>
      <c r="D16" s="1">
        <v>28.481777191162109</v>
      </c>
    </row>
    <row r="17" spans="1:4" x14ac:dyDescent="0.2">
      <c r="A17" t="s">
        <v>26</v>
      </c>
      <c r="B17" t="s">
        <v>25</v>
      </c>
      <c r="C17" t="s">
        <v>4</v>
      </c>
      <c r="D17" s="1">
        <v>28.597145080566406</v>
      </c>
    </row>
    <row r="18" spans="1:4" x14ac:dyDescent="0.2">
      <c r="A18" t="s">
        <v>27</v>
      </c>
      <c r="B18" t="s">
        <v>28</v>
      </c>
      <c r="C18" t="s">
        <v>4</v>
      </c>
      <c r="D18" s="1">
        <v>28.327737808227539</v>
      </c>
    </row>
    <row r="19" spans="1:4" x14ac:dyDescent="0.2">
      <c r="A19" t="s">
        <v>29</v>
      </c>
      <c r="B19" t="s">
        <v>28</v>
      </c>
      <c r="C19" t="s">
        <v>4</v>
      </c>
      <c r="D19" s="1">
        <v>28.667360305786133</v>
      </c>
    </row>
    <row r="20" spans="1:4" x14ac:dyDescent="0.2">
      <c r="A20" t="s">
        <v>30</v>
      </c>
      <c r="B20" t="s">
        <v>31</v>
      </c>
      <c r="C20" t="s">
        <v>4</v>
      </c>
      <c r="D20" s="1">
        <v>28.592180252075195</v>
      </c>
    </row>
    <row r="21" spans="1:4" x14ac:dyDescent="0.2">
      <c r="A21" t="s">
        <v>32</v>
      </c>
      <c r="B21" t="s">
        <v>31</v>
      </c>
      <c r="C21" t="s">
        <v>4</v>
      </c>
      <c r="D21" s="1">
        <v>29.246086120605469</v>
      </c>
    </row>
    <row r="22" spans="1:4" x14ac:dyDescent="0.2">
      <c r="A22" t="s">
        <v>33</v>
      </c>
      <c r="B22" t="s">
        <v>34</v>
      </c>
      <c r="C22" t="s">
        <v>4</v>
      </c>
      <c r="D22" s="1">
        <v>28.717264175415039</v>
      </c>
    </row>
    <row r="23" spans="1:4" x14ac:dyDescent="0.2">
      <c r="A23" t="s">
        <v>35</v>
      </c>
      <c r="B23" t="s">
        <v>34</v>
      </c>
      <c r="C23" t="s">
        <v>4</v>
      </c>
      <c r="D23" s="1">
        <v>29.66998291015625</v>
      </c>
    </row>
    <row r="24" spans="1:4" x14ac:dyDescent="0.2">
      <c r="A24" t="s">
        <v>36</v>
      </c>
      <c r="B24" t="s">
        <v>37</v>
      </c>
      <c r="C24" t="s">
        <v>4</v>
      </c>
      <c r="D24" s="1">
        <v>31.100046157836914</v>
      </c>
    </row>
    <row r="25" spans="1:4" x14ac:dyDescent="0.2">
      <c r="A25" t="s">
        <v>38</v>
      </c>
      <c r="B25" t="s">
        <v>3</v>
      </c>
      <c r="C25" t="s">
        <v>4</v>
      </c>
      <c r="D25" s="1">
        <v>28.640216827392578</v>
      </c>
    </row>
    <row r="26" spans="1:4" x14ac:dyDescent="0.2">
      <c r="A26" t="s">
        <v>39</v>
      </c>
      <c r="B26" t="s">
        <v>28</v>
      </c>
      <c r="C26" t="s">
        <v>4</v>
      </c>
      <c r="D26" s="1">
        <v>28.921371459960938</v>
      </c>
    </row>
    <row r="27" spans="1:4" x14ac:dyDescent="0.2">
      <c r="A27" t="s">
        <v>40</v>
      </c>
      <c r="B27" t="s">
        <v>31</v>
      </c>
      <c r="C27" t="s">
        <v>4</v>
      </c>
      <c r="D27" s="1">
        <v>29.369106292724609</v>
      </c>
    </row>
    <row r="28" spans="1:4" x14ac:dyDescent="0.2">
      <c r="A28" t="s">
        <v>41</v>
      </c>
      <c r="B28" t="s">
        <v>34</v>
      </c>
      <c r="C28" t="s">
        <v>4</v>
      </c>
      <c r="D28" s="1">
        <v>29.309946060180664</v>
      </c>
    </row>
    <row r="29" spans="1:4" x14ac:dyDescent="0.2">
      <c r="A29" t="s">
        <v>42</v>
      </c>
      <c r="B29" t="s">
        <v>37</v>
      </c>
      <c r="C29" t="s">
        <v>4</v>
      </c>
      <c r="D29" s="1">
        <v>30.976226806640625</v>
      </c>
    </row>
    <row r="30" spans="1:4" x14ac:dyDescent="0.2">
      <c r="A30" t="s">
        <v>43</v>
      </c>
      <c r="B30" t="s">
        <v>44</v>
      </c>
      <c r="C30" t="s">
        <v>4</v>
      </c>
      <c r="D30" s="1">
        <v>26.85673713684082</v>
      </c>
    </row>
    <row r="31" spans="1:4" x14ac:dyDescent="0.2">
      <c r="A31" t="s">
        <v>45</v>
      </c>
      <c r="B31" t="s">
        <v>44</v>
      </c>
      <c r="C31" t="s">
        <v>4</v>
      </c>
      <c r="D31" s="1">
        <v>27.414051055908203</v>
      </c>
    </row>
    <row r="32" spans="1:4" x14ac:dyDescent="0.2">
      <c r="A32" t="s">
        <v>46</v>
      </c>
      <c r="B32" t="s">
        <v>47</v>
      </c>
      <c r="C32" t="s">
        <v>4</v>
      </c>
      <c r="D32" s="1">
        <v>28.863157272338867</v>
      </c>
    </row>
    <row r="33" spans="1:4" x14ac:dyDescent="0.2">
      <c r="A33" t="s">
        <v>48</v>
      </c>
      <c r="B33" t="s">
        <v>47</v>
      </c>
      <c r="C33" t="s">
        <v>4</v>
      </c>
      <c r="D33" s="1">
        <v>28.391275405883789</v>
      </c>
    </row>
    <row r="34" spans="1:4" x14ac:dyDescent="0.2">
      <c r="A34" t="s">
        <v>49</v>
      </c>
      <c r="B34" t="s">
        <v>50</v>
      </c>
      <c r="C34" t="s">
        <v>4</v>
      </c>
      <c r="D34" s="1">
        <v>28.712041854858398</v>
      </c>
    </row>
    <row r="35" spans="1:4" x14ac:dyDescent="0.2">
      <c r="A35" t="s">
        <v>51</v>
      </c>
      <c r="B35" t="s">
        <v>50</v>
      </c>
      <c r="C35" t="s">
        <v>4</v>
      </c>
      <c r="D35" s="1">
        <v>28.115631103515625</v>
      </c>
    </row>
    <row r="36" spans="1:4" x14ac:dyDescent="0.2">
      <c r="A36" t="s">
        <v>52</v>
      </c>
      <c r="B36" t="s">
        <v>53</v>
      </c>
      <c r="C36" t="s">
        <v>4</v>
      </c>
      <c r="D36" s="1">
        <v>28.448516845703125</v>
      </c>
    </row>
    <row r="37" spans="1:4" x14ac:dyDescent="0.2">
      <c r="A37" t="s">
        <v>54</v>
      </c>
      <c r="B37" t="s">
        <v>53</v>
      </c>
      <c r="C37" t="s">
        <v>4</v>
      </c>
      <c r="D37" s="1">
        <v>27.666067123413086</v>
      </c>
    </row>
    <row r="38" spans="1:4" x14ac:dyDescent="0.2">
      <c r="A38" t="s">
        <v>55</v>
      </c>
      <c r="B38" t="s">
        <v>56</v>
      </c>
      <c r="C38" t="s">
        <v>4</v>
      </c>
      <c r="D38" s="1">
        <v>28.716014862060547</v>
      </c>
    </row>
    <row r="39" spans="1:4" x14ac:dyDescent="0.2">
      <c r="A39" t="s">
        <v>57</v>
      </c>
      <c r="B39" t="s">
        <v>58</v>
      </c>
      <c r="C39" t="s">
        <v>4</v>
      </c>
      <c r="D39" s="1">
        <v>29.484039306640625</v>
      </c>
    </row>
    <row r="40" spans="1:4" x14ac:dyDescent="0.2">
      <c r="A40" t="s">
        <v>59</v>
      </c>
      <c r="B40" t="s">
        <v>60</v>
      </c>
      <c r="C40" t="s">
        <v>4</v>
      </c>
      <c r="D40" s="1">
        <v>28.346014022827148</v>
      </c>
    </row>
    <row r="41" spans="1:4" x14ac:dyDescent="0.2">
      <c r="A41" t="s">
        <v>61</v>
      </c>
      <c r="B41" t="s">
        <v>60</v>
      </c>
      <c r="C41" t="s">
        <v>4</v>
      </c>
      <c r="D41" s="1">
        <v>27.986642837524414</v>
      </c>
    </row>
    <row r="42" spans="1:4" x14ac:dyDescent="0.2">
      <c r="A42" t="s">
        <v>62</v>
      </c>
      <c r="B42" t="s">
        <v>63</v>
      </c>
      <c r="C42" t="s">
        <v>4</v>
      </c>
      <c r="D42" s="1">
        <v>28.068954467773438</v>
      </c>
    </row>
    <row r="43" spans="1:4" x14ac:dyDescent="0.2">
      <c r="A43" t="s">
        <v>64</v>
      </c>
      <c r="B43" t="s">
        <v>63</v>
      </c>
      <c r="C43" t="s">
        <v>4</v>
      </c>
      <c r="D43" s="1">
        <v>27.779462814331055</v>
      </c>
    </row>
    <row r="44" spans="1:4" x14ac:dyDescent="0.2">
      <c r="A44" t="s">
        <v>65</v>
      </c>
      <c r="B44" t="s">
        <v>66</v>
      </c>
      <c r="C44" t="s">
        <v>4</v>
      </c>
      <c r="D44" s="1">
        <v>28.583141326904297</v>
      </c>
    </row>
    <row r="45" spans="1:4" x14ac:dyDescent="0.2">
      <c r="A45" t="s">
        <v>67</v>
      </c>
      <c r="B45" t="s">
        <v>68</v>
      </c>
      <c r="C45" t="s">
        <v>4</v>
      </c>
      <c r="D45" s="1">
        <v>29.258733749389648</v>
      </c>
    </row>
    <row r="46" spans="1:4" x14ac:dyDescent="0.2">
      <c r="A46" t="s">
        <v>69</v>
      </c>
      <c r="B46" t="s">
        <v>68</v>
      </c>
      <c r="C46" t="s">
        <v>4</v>
      </c>
      <c r="D46" s="1">
        <v>29.346904754638672</v>
      </c>
    </row>
    <row r="47" spans="1:4" x14ac:dyDescent="0.2">
      <c r="A47" t="s">
        <v>70</v>
      </c>
      <c r="B47" t="s">
        <v>71</v>
      </c>
      <c r="C47" t="s">
        <v>4</v>
      </c>
      <c r="D47" s="1">
        <v>28.880075454711914</v>
      </c>
    </row>
    <row r="48" spans="1:4" x14ac:dyDescent="0.2">
      <c r="A48" t="s">
        <v>72</v>
      </c>
      <c r="B48" t="s">
        <v>44</v>
      </c>
      <c r="C48" t="s">
        <v>4</v>
      </c>
      <c r="D48" s="1">
        <v>28.00507926940918</v>
      </c>
    </row>
    <row r="49" spans="1:4" x14ac:dyDescent="0.2">
      <c r="A49" t="s">
        <v>73</v>
      </c>
      <c r="B49" t="s">
        <v>56</v>
      </c>
      <c r="C49" t="s">
        <v>4</v>
      </c>
      <c r="D49" s="1">
        <v>28.492115020751953</v>
      </c>
    </row>
    <row r="50" spans="1:4" x14ac:dyDescent="0.2">
      <c r="A50" t="s">
        <v>74</v>
      </c>
      <c r="B50" t="s">
        <v>58</v>
      </c>
      <c r="C50" t="s">
        <v>4</v>
      </c>
      <c r="D50" s="1">
        <v>28.838897705078125</v>
      </c>
    </row>
    <row r="51" spans="1:4" x14ac:dyDescent="0.2">
      <c r="A51" t="s">
        <v>75</v>
      </c>
      <c r="B51" t="s">
        <v>66</v>
      </c>
      <c r="C51" t="s">
        <v>4</v>
      </c>
      <c r="D51" s="1">
        <v>29.654022216796875</v>
      </c>
    </row>
    <row r="52" spans="1:4" x14ac:dyDescent="0.2">
      <c r="A52" t="s">
        <v>76</v>
      </c>
      <c r="B52" t="s">
        <v>71</v>
      </c>
      <c r="C52" t="s">
        <v>4</v>
      </c>
      <c r="D52" s="1">
        <v>29.131044387817383</v>
      </c>
    </row>
    <row r="53" spans="1:4" x14ac:dyDescent="0.2">
      <c r="A53" t="s">
        <v>77</v>
      </c>
      <c r="B53" t="s">
        <v>78</v>
      </c>
      <c r="C53" t="s">
        <v>4</v>
      </c>
      <c r="D53" s="1">
        <v>28.413537979125977</v>
      </c>
    </row>
    <row r="54" spans="1:4" x14ac:dyDescent="0.2">
      <c r="A54" t="s">
        <v>79</v>
      </c>
      <c r="B54" t="s">
        <v>78</v>
      </c>
      <c r="C54" t="s">
        <v>4</v>
      </c>
      <c r="D54" s="1">
        <v>28.250007629394531</v>
      </c>
    </row>
    <row r="55" spans="1:4" x14ac:dyDescent="0.2">
      <c r="A55" t="s">
        <v>80</v>
      </c>
      <c r="B55" t="s">
        <v>81</v>
      </c>
      <c r="C55" t="s">
        <v>4</v>
      </c>
      <c r="D55" s="1">
        <v>29.024822235107422</v>
      </c>
    </row>
    <row r="56" spans="1:4" x14ac:dyDescent="0.2">
      <c r="A56" t="s">
        <v>82</v>
      </c>
      <c r="B56" t="s">
        <v>81</v>
      </c>
      <c r="C56" t="s">
        <v>4</v>
      </c>
      <c r="D56" s="1">
        <v>28.703084945678711</v>
      </c>
    </row>
    <row r="57" spans="1:4" x14ac:dyDescent="0.2">
      <c r="A57" t="s">
        <v>83</v>
      </c>
      <c r="B57" t="s">
        <v>84</v>
      </c>
      <c r="C57" t="s">
        <v>4</v>
      </c>
      <c r="D57" s="1">
        <v>28.877832412719727</v>
      </c>
    </row>
    <row r="58" spans="1:4" x14ac:dyDescent="0.2">
      <c r="A58" t="s">
        <v>85</v>
      </c>
      <c r="B58" t="s">
        <v>84</v>
      </c>
      <c r="C58" t="s">
        <v>4</v>
      </c>
      <c r="D58" s="1">
        <v>28.827383041381836</v>
      </c>
    </row>
    <row r="59" spans="1:4" x14ac:dyDescent="0.2">
      <c r="A59" t="s">
        <v>86</v>
      </c>
      <c r="B59" t="s">
        <v>87</v>
      </c>
      <c r="C59" t="s">
        <v>4</v>
      </c>
      <c r="D59" s="1">
        <v>28.716794967651367</v>
      </c>
    </row>
    <row r="60" spans="1:4" x14ac:dyDescent="0.2">
      <c r="A60" t="s">
        <v>88</v>
      </c>
      <c r="B60" t="s">
        <v>89</v>
      </c>
      <c r="C60" t="s">
        <v>4</v>
      </c>
      <c r="D60" s="1">
        <v>28.709613800048828</v>
      </c>
    </row>
    <row r="61" spans="1:4" x14ac:dyDescent="0.2">
      <c r="A61" t="s">
        <v>90</v>
      </c>
      <c r="B61" t="s">
        <v>89</v>
      </c>
      <c r="C61" t="s">
        <v>4</v>
      </c>
      <c r="D61" s="1">
        <v>28.239589691162109</v>
      </c>
    </row>
    <row r="62" spans="1:4" x14ac:dyDescent="0.2">
      <c r="A62" t="s">
        <v>91</v>
      </c>
      <c r="B62" t="s">
        <v>92</v>
      </c>
      <c r="C62" t="s">
        <v>4</v>
      </c>
      <c r="D62" s="1">
        <v>29.38459587097168</v>
      </c>
    </row>
    <row r="63" spans="1:4" x14ac:dyDescent="0.2">
      <c r="A63" t="s">
        <v>93</v>
      </c>
      <c r="B63" t="s">
        <v>94</v>
      </c>
      <c r="C63" t="s">
        <v>4</v>
      </c>
      <c r="D63" s="1">
        <v>30.097232818603516</v>
      </c>
    </row>
    <row r="64" spans="1:4" x14ac:dyDescent="0.2">
      <c r="A64" t="s">
        <v>95</v>
      </c>
      <c r="B64" t="s">
        <v>96</v>
      </c>
      <c r="C64" t="s">
        <v>4</v>
      </c>
      <c r="D64" s="1">
        <v>29.410650253295898</v>
      </c>
    </row>
    <row r="65" spans="1:4" x14ac:dyDescent="0.2">
      <c r="A65" t="s">
        <v>97</v>
      </c>
      <c r="B65" t="s">
        <v>98</v>
      </c>
      <c r="C65" t="s">
        <v>4</v>
      </c>
      <c r="D65" s="1">
        <v>28.163021087646484</v>
      </c>
    </row>
    <row r="66" spans="1:4" x14ac:dyDescent="0.2">
      <c r="A66" t="s">
        <v>99</v>
      </c>
      <c r="B66" t="s">
        <v>98</v>
      </c>
      <c r="C66" t="s">
        <v>4</v>
      </c>
      <c r="D66" s="1">
        <v>28.21458625793457</v>
      </c>
    </row>
    <row r="67" spans="1:4" x14ac:dyDescent="0.2">
      <c r="A67" t="s">
        <v>100</v>
      </c>
      <c r="B67" t="s">
        <v>101</v>
      </c>
      <c r="C67" t="s">
        <v>4</v>
      </c>
      <c r="D67" s="1">
        <v>28.740457534790039</v>
      </c>
    </row>
    <row r="68" spans="1:4" x14ac:dyDescent="0.2">
      <c r="A68" t="s">
        <v>102</v>
      </c>
      <c r="B68" t="s">
        <v>101</v>
      </c>
      <c r="C68" t="s">
        <v>4</v>
      </c>
      <c r="D68" s="1">
        <v>28.599946975708008</v>
      </c>
    </row>
    <row r="69" spans="1:4" x14ac:dyDescent="0.2">
      <c r="A69" t="s">
        <v>103</v>
      </c>
      <c r="B69" t="s">
        <v>104</v>
      </c>
      <c r="C69" t="s">
        <v>4</v>
      </c>
      <c r="D69" s="1">
        <v>29.780265808105469</v>
      </c>
    </row>
    <row r="70" spans="1:4" x14ac:dyDescent="0.2">
      <c r="A70" t="s">
        <v>105</v>
      </c>
      <c r="B70" t="s">
        <v>104</v>
      </c>
      <c r="C70" t="s">
        <v>4</v>
      </c>
      <c r="D70" s="1">
        <v>29.430820465087891</v>
      </c>
    </row>
    <row r="71" spans="1:4" x14ac:dyDescent="0.2">
      <c r="A71" t="s">
        <v>106</v>
      </c>
      <c r="B71" t="s">
        <v>107</v>
      </c>
      <c r="C71" t="s">
        <v>4</v>
      </c>
      <c r="D71" s="1">
        <v>29.48036003112793</v>
      </c>
    </row>
    <row r="72" spans="1:4" x14ac:dyDescent="0.2">
      <c r="A72" t="s">
        <v>108</v>
      </c>
      <c r="B72" t="s">
        <v>78</v>
      </c>
      <c r="C72" t="s">
        <v>4</v>
      </c>
      <c r="D72" s="1">
        <v>28.885238647460938</v>
      </c>
    </row>
    <row r="73" spans="1:4" x14ac:dyDescent="0.2">
      <c r="A73" t="s">
        <v>109</v>
      </c>
      <c r="B73" t="s">
        <v>87</v>
      </c>
      <c r="C73" t="s">
        <v>4</v>
      </c>
      <c r="D73" s="1">
        <v>29.255100250244141</v>
      </c>
    </row>
    <row r="74" spans="1:4" x14ac:dyDescent="0.2">
      <c r="A74" t="s">
        <v>110</v>
      </c>
      <c r="B74" t="s">
        <v>92</v>
      </c>
      <c r="C74" t="s">
        <v>4</v>
      </c>
      <c r="D74" s="1">
        <v>29.799592971801758</v>
      </c>
    </row>
    <row r="75" spans="1:4" x14ac:dyDescent="0.2">
      <c r="A75" t="s">
        <v>111</v>
      </c>
      <c r="B75" t="s">
        <v>94</v>
      </c>
      <c r="C75" t="s">
        <v>4</v>
      </c>
      <c r="D75" s="1">
        <v>30.045595169067383</v>
      </c>
    </row>
    <row r="76" spans="1:4" x14ac:dyDescent="0.2">
      <c r="A76" t="s">
        <v>112</v>
      </c>
      <c r="B76" t="s">
        <v>96</v>
      </c>
      <c r="C76" t="s">
        <v>4</v>
      </c>
      <c r="D76" s="1">
        <v>29.152544021606445</v>
      </c>
    </row>
    <row r="77" spans="1:4" x14ac:dyDescent="0.2">
      <c r="A77" t="s">
        <v>113</v>
      </c>
      <c r="B77" t="s">
        <v>107</v>
      </c>
      <c r="C77" t="s">
        <v>4</v>
      </c>
      <c r="D77" s="1">
        <v>29.191118240356445</v>
      </c>
    </row>
    <row r="78" spans="1:4" x14ac:dyDescent="0.2">
      <c r="A78" t="s">
        <v>114</v>
      </c>
      <c r="B78" t="s">
        <v>3</v>
      </c>
      <c r="C78" t="s">
        <v>115</v>
      </c>
      <c r="D78" s="1">
        <v>32.813312530517578</v>
      </c>
    </row>
    <row r="79" spans="1:4" x14ac:dyDescent="0.2">
      <c r="A79" t="s">
        <v>116</v>
      </c>
      <c r="B79" t="s">
        <v>3</v>
      </c>
      <c r="C79" t="s">
        <v>115</v>
      </c>
      <c r="D79" s="1">
        <v>32.728363037109375</v>
      </c>
    </row>
    <row r="80" spans="1:4" x14ac:dyDescent="0.2">
      <c r="A80" t="s">
        <v>117</v>
      </c>
      <c r="B80" t="s">
        <v>7</v>
      </c>
      <c r="C80" t="s">
        <v>115</v>
      </c>
      <c r="D80" s="1">
        <v>28.96156120300293</v>
      </c>
    </row>
    <row r="81" spans="1:4" x14ac:dyDescent="0.2">
      <c r="A81" t="s">
        <v>118</v>
      </c>
      <c r="B81" t="s">
        <v>7</v>
      </c>
      <c r="C81" t="s">
        <v>115</v>
      </c>
      <c r="D81" s="1">
        <v>28.923027038574219</v>
      </c>
    </row>
    <row r="82" spans="1:4" x14ac:dyDescent="0.2">
      <c r="A82" t="s">
        <v>119</v>
      </c>
      <c r="B82" t="s">
        <v>10</v>
      </c>
      <c r="C82" t="s">
        <v>115</v>
      </c>
      <c r="D82" s="1">
        <v>31.713066101074219</v>
      </c>
    </row>
    <row r="83" spans="1:4" x14ac:dyDescent="0.2">
      <c r="A83" t="s">
        <v>120</v>
      </c>
      <c r="B83" t="s">
        <v>10</v>
      </c>
      <c r="C83" t="s">
        <v>115</v>
      </c>
      <c r="D83" s="1">
        <v>31.895101547241211</v>
      </c>
    </row>
    <row r="84" spans="1:4" x14ac:dyDescent="0.2">
      <c r="A84" t="s">
        <v>121</v>
      </c>
      <c r="B84" t="s">
        <v>13</v>
      </c>
      <c r="C84" t="s">
        <v>115</v>
      </c>
      <c r="D84" s="1">
        <v>29.95237922668457</v>
      </c>
    </row>
    <row r="85" spans="1:4" x14ac:dyDescent="0.2">
      <c r="A85" t="s">
        <v>122</v>
      </c>
      <c r="B85" t="s">
        <v>13</v>
      </c>
      <c r="C85" t="s">
        <v>115</v>
      </c>
      <c r="D85" s="1">
        <v>29.941768646240234</v>
      </c>
    </row>
    <row r="86" spans="1:4" x14ac:dyDescent="0.2">
      <c r="A86" t="s">
        <v>123</v>
      </c>
      <c r="B86" t="s">
        <v>16</v>
      </c>
      <c r="C86" t="s">
        <v>115</v>
      </c>
      <c r="D86" s="1">
        <v>29.591440200805664</v>
      </c>
    </row>
    <row r="87" spans="1:4" x14ac:dyDescent="0.2">
      <c r="A87" t="s">
        <v>124</v>
      </c>
      <c r="B87" t="s">
        <v>16</v>
      </c>
      <c r="C87" t="s">
        <v>115</v>
      </c>
      <c r="D87" s="1">
        <v>29.609691619873047</v>
      </c>
    </row>
    <row r="88" spans="1:4" x14ac:dyDescent="0.2">
      <c r="A88" t="s">
        <v>125</v>
      </c>
      <c r="B88" t="s">
        <v>19</v>
      </c>
      <c r="C88" t="s">
        <v>115</v>
      </c>
      <c r="D88" s="1">
        <v>31.762395858764648</v>
      </c>
    </row>
    <row r="89" spans="1:4" x14ac:dyDescent="0.2">
      <c r="A89" t="s">
        <v>126</v>
      </c>
      <c r="B89" t="s">
        <v>19</v>
      </c>
      <c r="C89" t="s">
        <v>115</v>
      </c>
      <c r="D89" s="1">
        <v>31.87835693359375</v>
      </c>
    </row>
    <row r="90" spans="1:4" x14ac:dyDescent="0.2">
      <c r="A90" t="s">
        <v>127</v>
      </c>
      <c r="B90" t="s">
        <v>22</v>
      </c>
      <c r="C90" t="s">
        <v>115</v>
      </c>
      <c r="D90" s="1">
        <v>30.360956192016602</v>
      </c>
    </row>
    <row r="91" spans="1:4" x14ac:dyDescent="0.2">
      <c r="A91" t="s">
        <v>128</v>
      </c>
      <c r="B91" t="s">
        <v>22</v>
      </c>
      <c r="C91" t="s">
        <v>115</v>
      </c>
      <c r="D91" s="1">
        <v>30.477790832519531</v>
      </c>
    </row>
    <row r="92" spans="1:4" x14ac:dyDescent="0.2">
      <c r="A92" t="s">
        <v>129</v>
      </c>
      <c r="B92" t="s">
        <v>25</v>
      </c>
      <c r="C92" t="s">
        <v>115</v>
      </c>
      <c r="D92" s="1">
        <v>30.367843627929688</v>
      </c>
    </row>
    <row r="93" spans="1:4" x14ac:dyDescent="0.2">
      <c r="A93" t="s">
        <v>130</v>
      </c>
      <c r="B93" t="s">
        <v>25</v>
      </c>
      <c r="C93" t="s">
        <v>115</v>
      </c>
      <c r="D93" s="1">
        <v>30.120512008666992</v>
      </c>
    </row>
    <row r="94" spans="1:4" x14ac:dyDescent="0.2">
      <c r="A94" t="s">
        <v>131</v>
      </c>
      <c r="B94" t="s">
        <v>28</v>
      </c>
      <c r="C94" t="s">
        <v>115</v>
      </c>
      <c r="D94" s="1">
        <v>30.52702522277832</v>
      </c>
    </row>
    <row r="95" spans="1:4" x14ac:dyDescent="0.2">
      <c r="A95" t="s">
        <v>132</v>
      </c>
      <c r="B95" t="s">
        <v>28</v>
      </c>
      <c r="C95" t="s">
        <v>115</v>
      </c>
      <c r="D95" s="1">
        <v>30.539882659912109</v>
      </c>
    </row>
    <row r="96" spans="1:4" x14ac:dyDescent="0.2">
      <c r="A96" t="s">
        <v>133</v>
      </c>
      <c r="B96" t="s">
        <v>31</v>
      </c>
      <c r="C96" t="s">
        <v>115</v>
      </c>
      <c r="D96" s="1">
        <v>30.690488815307617</v>
      </c>
    </row>
    <row r="97" spans="1:4" x14ac:dyDescent="0.2">
      <c r="A97" t="s">
        <v>134</v>
      </c>
      <c r="B97" t="s">
        <v>34</v>
      </c>
      <c r="C97" t="s">
        <v>115</v>
      </c>
      <c r="D97" s="1">
        <v>28.737661361694336</v>
      </c>
    </row>
    <row r="98" spans="1:4" x14ac:dyDescent="0.2">
      <c r="A98" t="s">
        <v>135</v>
      </c>
      <c r="B98" t="s">
        <v>34</v>
      </c>
      <c r="C98" t="s">
        <v>115</v>
      </c>
      <c r="D98" s="1">
        <v>28.908657073974609</v>
      </c>
    </row>
    <row r="99" spans="1:4" x14ac:dyDescent="0.2">
      <c r="A99" t="s">
        <v>136</v>
      </c>
      <c r="B99" t="s">
        <v>37</v>
      </c>
      <c r="C99" t="s">
        <v>115</v>
      </c>
      <c r="D99" s="1">
        <v>31.182491302490234</v>
      </c>
    </row>
    <row r="100" spans="1:4" x14ac:dyDescent="0.2">
      <c r="A100" t="s">
        <v>137</v>
      </c>
      <c r="B100" t="s">
        <v>37</v>
      </c>
      <c r="C100" t="s">
        <v>115</v>
      </c>
      <c r="D100" s="1">
        <v>31.451251983642578</v>
      </c>
    </row>
    <row r="101" spans="1:4" x14ac:dyDescent="0.2">
      <c r="A101" t="s">
        <v>138</v>
      </c>
      <c r="B101" t="s">
        <v>3</v>
      </c>
      <c r="C101" t="s">
        <v>115</v>
      </c>
      <c r="D101" s="1">
        <v>32.611133575439453</v>
      </c>
    </row>
    <row r="102" spans="1:4" x14ac:dyDescent="0.2">
      <c r="A102" t="s">
        <v>139</v>
      </c>
      <c r="B102" t="s">
        <v>13</v>
      </c>
      <c r="C102" t="s">
        <v>115</v>
      </c>
      <c r="D102" s="1">
        <v>30.049903869628906</v>
      </c>
    </row>
    <row r="103" spans="1:4" x14ac:dyDescent="0.2">
      <c r="A103" t="s">
        <v>140</v>
      </c>
      <c r="B103" t="s">
        <v>19</v>
      </c>
      <c r="C103" t="s">
        <v>115</v>
      </c>
      <c r="D103" s="1">
        <v>31.633825302124023</v>
      </c>
    </row>
    <row r="104" spans="1:4" x14ac:dyDescent="0.2">
      <c r="A104" t="s">
        <v>141</v>
      </c>
      <c r="B104" t="s">
        <v>31</v>
      </c>
      <c r="C104" t="s">
        <v>115</v>
      </c>
      <c r="D104" s="1">
        <v>30.439281463623047</v>
      </c>
    </row>
    <row r="105" spans="1:4" x14ac:dyDescent="0.2">
      <c r="A105" t="s">
        <v>142</v>
      </c>
      <c r="B105" t="s">
        <v>37</v>
      </c>
      <c r="C105" t="s">
        <v>115</v>
      </c>
      <c r="D105" s="1">
        <v>31.135515213012695</v>
      </c>
    </row>
    <row r="106" spans="1:4" x14ac:dyDescent="0.2">
      <c r="A106" t="s">
        <v>143</v>
      </c>
      <c r="B106" t="s">
        <v>44</v>
      </c>
      <c r="C106" t="s">
        <v>115</v>
      </c>
      <c r="D106" s="1">
        <v>27.502388000488281</v>
      </c>
    </row>
    <row r="107" spans="1:4" x14ac:dyDescent="0.2">
      <c r="A107" t="s">
        <v>144</v>
      </c>
      <c r="B107" t="s">
        <v>44</v>
      </c>
      <c r="C107" t="s">
        <v>115</v>
      </c>
      <c r="D107" s="1">
        <v>27.5484619140625</v>
      </c>
    </row>
    <row r="108" spans="1:4" x14ac:dyDescent="0.2">
      <c r="A108" t="s">
        <v>145</v>
      </c>
      <c r="B108" t="s">
        <v>47</v>
      </c>
      <c r="C108" t="s">
        <v>115</v>
      </c>
      <c r="D108" s="1">
        <v>29.230941772460938</v>
      </c>
    </row>
    <row r="109" spans="1:4" x14ac:dyDescent="0.2">
      <c r="A109" t="s">
        <v>146</v>
      </c>
      <c r="B109" t="s">
        <v>47</v>
      </c>
      <c r="C109" t="s">
        <v>115</v>
      </c>
      <c r="D109" s="1">
        <v>29.309078216552734</v>
      </c>
    </row>
    <row r="110" spans="1:4" x14ac:dyDescent="0.2">
      <c r="A110" t="s">
        <v>147</v>
      </c>
      <c r="B110" t="s">
        <v>50</v>
      </c>
      <c r="C110" t="s">
        <v>115</v>
      </c>
      <c r="D110" s="1">
        <v>30.396846771240234</v>
      </c>
    </row>
    <row r="111" spans="1:4" x14ac:dyDescent="0.2">
      <c r="A111" t="s">
        <v>148</v>
      </c>
      <c r="B111" t="s">
        <v>53</v>
      </c>
      <c r="C111" t="s">
        <v>115</v>
      </c>
      <c r="D111" s="1">
        <v>29.851631164550781</v>
      </c>
    </row>
    <row r="112" spans="1:4" x14ac:dyDescent="0.2">
      <c r="A112" t="s">
        <v>149</v>
      </c>
      <c r="B112" t="s">
        <v>53</v>
      </c>
      <c r="C112" t="s">
        <v>115</v>
      </c>
      <c r="D112" s="1">
        <v>29.717798233032227</v>
      </c>
    </row>
    <row r="113" spans="1:4" x14ac:dyDescent="0.2">
      <c r="A113" t="s">
        <v>150</v>
      </c>
      <c r="B113" t="s">
        <v>56</v>
      </c>
      <c r="C113" t="s">
        <v>115</v>
      </c>
      <c r="D113" s="1">
        <v>29.181314468383789</v>
      </c>
    </row>
    <row r="114" spans="1:4" x14ac:dyDescent="0.2">
      <c r="A114" t="s">
        <v>151</v>
      </c>
      <c r="B114" t="s">
        <v>56</v>
      </c>
      <c r="C114" t="s">
        <v>115</v>
      </c>
      <c r="D114" s="1">
        <v>29.427394866943359</v>
      </c>
    </row>
    <row r="115" spans="1:4" x14ac:dyDescent="0.2">
      <c r="A115" t="s">
        <v>152</v>
      </c>
      <c r="B115" t="s">
        <v>153</v>
      </c>
      <c r="C115" t="s">
        <v>115</v>
      </c>
      <c r="D115" s="1">
        <v>31.030513763427734</v>
      </c>
    </row>
    <row r="116" spans="1:4" x14ac:dyDescent="0.2">
      <c r="A116" t="s">
        <v>154</v>
      </c>
      <c r="B116" t="s">
        <v>58</v>
      </c>
      <c r="C116" t="s">
        <v>115</v>
      </c>
      <c r="D116" s="1">
        <v>31.861770629882812</v>
      </c>
    </row>
    <row r="117" spans="1:4" x14ac:dyDescent="0.2">
      <c r="A117" t="s">
        <v>155</v>
      </c>
      <c r="B117" t="s">
        <v>60</v>
      </c>
      <c r="C117" t="s">
        <v>115</v>
      </c>
      <c r="D117" s="1">
        <v>29.266237258911133</v>
      </c>
    </row>
    <row r="118" spans="1:4" x14ac:dyDescent="0.2">
      <c r="A118" t="s">
        <v>156</v>
      </c>
      <c r="B118" t="s">
        <v>60</v>
      </c>
      <c r="C118" t="s">
        <v>115</v>
      </c>
      <c r="D118" s="1">
        <v>28.605400085449219</v>
      </c>
    </row>
    <row r="119" spans="1:4" x14ac:dyDescent="0.2">
      <c r="A119" t="s">
        <v>157</v>
      </c>
      <c r="B119" t="s">
        <v>63</v>
      </c>
      <c r="C119" t="s">
        <v>115</v>
      </c>
      <c r="D119" s="1">
        <v>29.899257659912109</v>
      </c>
    </row>
    <row r="120" spans="1:4" x14ac:dyDescent="0.2">
      <c r="A120" t="s">
        <v>158</v>
      </c>
      <c r="B120" t="s">
        <v>63</v>
      </c>
      <c r="C120" t="s">
        <v>115</v>
      </c>
      <c r="D120" s="1">
        <v>30.468866348266602</v>
      </c>
    </row>
    <row r="121" spans="1:4" x14ac:dyDescent="0.2">
      <c r="A121" t="s">
        <v>159</v>
      </c>
      <c r="B121" t="s">
        <v>66</v>
      </c>
      <c r="C121" t="s">
        <v>115</v>
      </c>
      <c r="D121" s="1">
        <v>29.58833122253418</v>
      </c>
    </row>
    <row r="122" spans="1:4" x14ac:dyDescent="0.2">
      <c r="A122" t="s">
        <v>160</v>
      </c>
      <c r="B122" t="s">
        <v>66</v>
      </c>
      <c r="C122" t="s">
        <v>115</v>
      </c>
      <c r="D122" s="1">
        <v>29.519588470458984</v>
      </c>
    </row>
    <row r="123" spans="1:4" x14ac:dyDescent="0.2">
      <c r="A123" t="s">
        <v>161</v>
      </c>
      <c r="B123" t="s">
        <v>68</v>
      </c>
      <c r="C123" t="s">
        <v>115</v>
      </c>
      <c r="D123" s="1">
        <v>30.239492416381836</v>
      </c>
    </row>
    <row r="124" spans="1:4" x14ac:dyDescent="0.2">
      <c r="A124" t="s">
        <v>162</v>
      </c>
      <c r="B124" t="s">
        <v>68</v>
      </c>
      <c r="C124" t="s">
        <v>115</v>
      </c>
      <c r="D124" s="1">
        <v>30.370269775390625</v>
      </c>
    </row>
    <row r="125" spans="1:4" x14ac:dyDescent="0.2">
      <c r="A125" t="s">
        <v>163</v>
      </c>
      <c r="B125" t="s">
        <v>71</v>
      </c>
      <c r="C125" t="s">
        <v>115</v>
      </c>
      <c r="D125" s="1">
        <v>30.136913299560547</v>
      </c>
    </row>
    <row r="126" spans="1:4" x14ac:dyDescent="0.2">
      <c r="A126" t="s">
        <v>164</v>
      </c>
      <c r="B126" t="s">
        <v>71</v>
      </c>
      <c r="C126" t="s">
        <v>115</v>
      </c>
      <c r="D126" s="1">
        <v>30.310462951660156</v>
      </c>
    </row>
    <row r="127" spans="1:4" x14ac:dyDescent="0.2">
      <c r="A127" t="s">
        <v>165</v>
      </c>
      <c r="B127" t="s">
        <v>44</v>
      </c>
      <c r="C127" t="s">
        <v>115</v>
      </c>
      <c r="D127" s="1">
        <v>27.498498916625977</v>
      </c>
    </row>
    <row r="128" spans="1:4" x14ac:dyDescent="0.2">
      <c r="A128" t="s">
        <v>166</v>
      </c>
      <c r="B128" t="s">
        <v>50</v>
      </c>
      <c r="C128" t="s">
        <v>115</v>
      </c>
      <c r="D128" s="1">
        <v>30.619823455810547</v>
      </c>
    </row>
    <row r="129" spans="1:4" x14ac:dyDescent="0.2">
      <c r="A129" t="s">
        <v>167</v>
      </c>
      <c r="B129" t="s">
        <v>56</v>
      </c>
      <c r="C129" t="s">
        <v>115</v>
      </c>
      <c r="D129" s="1">
        <v>29.691341400146484</v>
      </c>
    </row>
    <row r="130" spans="1:4" x14ac:dyDescent="0.2">
      <c r="A130" t="s">
        <v>168</v>
      </c>
      <c r="B130" t="s">
        <v>153</v>
      </c>
      <c r="C130" t="s">
        <v>115</v>
      </c>
      <c r="D130" s="1">
        <v>31.681722640991211</v>
      </c>
    </row>
    <row r="131" spans="1:4" x14ac:dyDescent="0.2">
      <c r="A131" t="s">
        <v>169</v>
      </c>
      <c r="B131" t="s">
        <v>58</v>
      </c>
      <c r="C131" t="s">
        <v>115</v>
      </c>
      <c r="D131" s="1">
        <v>31.788854598999023</v>
      </c>
    </row>
    <row r="132" spans="1:4" x14ac:dyDescent="0.2">
      <c r="A132" t="s">
        <v>170</v>
      </c>
      <c r="B132" t="s">
        <v>63</v>
      </c>
      <c r="C132" t="s">
        <v>115</v>
      </c>
      <c r="D132" s="1">
        <v>30.110408782958984</v>
      </c>
    </row>
    <row r="133" spans="1:4" x14ac:dyDescent="0.2">
      <c r="A133" t="s">
        <v>171</v>
      </c>
      <c r="B133" t="s">
        <v>66</v>
      </c>
      <c r="C133" t="s">
        <v>115</v>
      </c>
      <c r="D133" s="1">
        <v>30.122480392456055</v>
      </c>
    </row>
    <row r="134" spans="1:4" x14ac:dyDescent="0.2">
      <c r="A134" t="s">
        <v>172</v>
      </c>
      <c r="B134" t="s">
        <v>68</v>
      </c>
      <c r="C134" t="s">
        <v>115</v>
      </c>
      <c r="D134" s="1">
        <v>30.586021423339844</v>
      </c>
    </row>
    <row r="135" spans="1:4" x14ac:dyDescent="0.2">
      <c r="A135" t="s">
        <v>173</v>
      </c>
      <c r="B135" t="s">
        <v>71</v>
      </c>
      <c r="C135" t="s">
        <v>115</v>
      </c>
      <c r="D135" s="1">
        <v>30.098283767700195</v>
      </c>
    </row>
    <row r="136" spans="1:4" x14ac:dyDescent="0.2">
      <c r="A136" t="s">
        <v>174</v>
      </c>
      <c r="B136" t="s">
        <v>78</v>
      </c>
      <c r="C136" t="s">
        <v>115</v>
      </c>
      <c r="D136" s="1">
        <v>28.786455154418945</v>
      </c>
    </row>
    <row r="137" spans="1:4" x14ac:dyDescent="0.2">
      <c r="A137" t="s">
        <v>175</v>
      </c>
      <c r="B137" t="s">
        <v>78</v>
      </c>
      <c r="C137" t="s">
        <v>115</v>
      </c>
      <c r="D137" s="1">
        <v>29.277175903320312</v>
      </c>
    </row>
    <row r="138" spans="1:4" x14ac:dyDescent="0.2">
      <c r="A138" t="s">
        <v>176</v>
      </c>
      <c r="B138" t="s">
        <v>81</v>
      </c>
      <c r="C138" t="s">
        <v>115</v>
      </c>
      <c r="D138" s="1">
        <v>28.806085586547852</v>
      </c>
    </row>
    <row r="139" spans="1:4" x14ac:dyDescent="0.2">
      <c r="A139" t="s">
        <v>177</v>
      </c>
      <c r="B139" t="s">
        <v>81</v>
      </c>
      <c r="C139" t="s">
        <v>115</v>
      </c>
      <c r="D139" s="1">
        <v>28.805818557739258</v>
      </c>
    </row>
    <row r="140" spans="1:4" x14ac:dyDescent="0.2">
      <c r="A140" t="s">
        <v>178</v>
      </c>
      <c r="B140" t="s">
        <v>84</v>
      </c>
      <c r="C140" t="s">
        <v>115</v>
      </c>
      <c r="D140" s="1">
        <v>30.810413360595703</v>
      </c>
    </row>
    <row r="141" spans="1:4" x14ac:dyDescent="0.2">
      <c r="A141" t="s">
        <v>179</v>
      </c>
      <c r="B141" t="s">
        <v>84</v>
      </c>
      <c r="C141" t="s">
        <v>115</v>
      </c>
      <c r="D141" s="1">
        <v>30.750589370727539</v>
      </c>
    </row>
    <row r="142" spans="1:4" x14ac:dyDescent="0.2">
      <c r="A142" t="s">
        <v>180</v>
      </c>
      <c r="B142" t="s">
        <v>87</v>
      </c>
      <c r="C142" t="s">
        <v>115</v>
      </c>
      <c r="D142" s="1">
        <v>28.362445831298828</v>
      </c>
    </row>
    <row r="143" spans="1:4" x14ac:dyDescent="0.2">
      <c r="A143" t="s">
        <v>181</v>
      </c>
      <c r="B143" t="s">
        <v>87</v>
      </c>
      <c r="C143" t="s">
        <v>115</v>
      </c>
      <c r="D143" s="1">
        <v>28.244800567626953</v>
      </c>
    </row>
    <row r="144" spans="1:4" x14ac:dyDescent="0.2">
      <c r="A144" t="s">
        <v>182</v>
      </c>
      <c r="B144" t="s">
        <v>89</v>
      </c>
      <c r="C144" t="s">
        <v>115</v>
      </c>
      <c r="D144" s="1">
        <v>27.742147445678711</v>
      </c>
    </row>
    <row r="145" spans="1:4" x14ac:dyDescent="0.2">
      <c r="A145" t="s">
        <v>183</v>
      </c>
      <c r="B145" t="s">
        <v>89</v>
      </c>
      <c r="C145" t="s">
        <v>115</v>
      </c>
      <c r="D145" s="1">
        <v>27.906522750854492</v>
      </c>
    </row>
    <row r="146" spans="1:4" x14ac:dyDescent="0.2">
      <c r="A146" t="s">
        <v>184</v>
      </c>
      <c r="B146" t="s">
        <v>94</v>
      </c>
      <c r="C146" t="s">
        <v>115</v>
      </c>
      <c r="D146" s="1">
        <v>28.54157829284668</v>
      </c>
    </row>
    <row r="147" spans="1:4" x14ac:dyDescent="0.2">
      <c r="A147" t="s">
        <v>185</v>
      </c>
      <c r="B147" t="s">
        <v>94</v>
      </c>
      <c r="C147" t="s">
        <v>115</v>
      </c>
      <c r="D147" s="1">
        <v>28.477024078369141</v>
      </c>
    </row>
    <row r="148" spans="1:4" x14ac:dyDescent="0.2">
      <c r="A148" t="s">
        <v>186</v>
      </c>
      <c r="B148" t="s">
        <v>96</v>
      </c>
      <c r="C148" t="s">
        <v>115</v>
      </c>
      <c r="D148" s="1">
        <v>28.569623947143555</v>
      </c>
    </row>
    <row r="149" spans="1:4" x14ac:dyDescent="0.2">
      <c r="A149" t="s">
        <v>187</v>
      </c>
      <c r="B149" t="s">
        <v>96</v>
      </c>
      <c r="C149" t="s">
        <v>115</v>
      </c>
      <c r="D149" s="1">
        <v>29.098068237304688</v>
      </c>
    </row>
    <row r="150" spans="1:4" x14ac:dyDescent="0.2">
      <c r="A150" t="s">
        <v>188</v>
      </c>
      <c r="B150" t="s">
        <v>98</v>
      </c>
      <c r="C150" t="s">
        <v>115</v>
      </c>
      <c r="D150" s="1">
        <v>28.705324172973633</v>
      </c>
    </row>
    <row r="151" spans="1:4" x14ac:dyDescent="0.2">
      <c r="A151" t="s">
        <v>189</v>
      </c>
      <c r="B151" t="s">
        <v>98</v>
      </c>
      <c r="C151" t="s">
        <v>115</v>
      </c>
      <c r="D151" s="1">
        <v>28.975334167480469</v>
      </c>
    </row>
    <row r="152" spans="1:4" x14ac:dyDescent="0.2">
      <c r="A152" t="s">
        <v>190</v>
      </c>
      <c r="B152" t="s">
        <v>101</v>
      </c>
      <c r="C152" t="s">
        <v>115</v>
      </c>
      <c r="D152" s="1">
        <v>28.623943328857422</v>
      </c>
    </row>
    <row r="153" spans="1:4" x14ac:dyDescent="0.2">
      <c r="A153" t="s">
        <v>191</v>
      </c>
      <c r="B153" t="s">
        <v>101</v>
      </c>
      <c r="C153" t="s">
        <v>115</v>
      </c>
      <c r="D153" s="1">
        <v>29.104238510131836</v>
      </c>
    </row>
    <row r="154" spans="1:4" x14ac:dyDescent="0.2">
      <c r="A154" t="s">
        <v>192</v>
      </c>
      <c r="B154" t="s">
        <v>104</v>
      </c>
      <c r="C154" t="s">
        <v>115</v>
      </c>
      <c r="D154" s="1">
        <v>29.218650817871094</v>
      </c>
    </row>
    <row r="155" spans="1:4" x14ac:dyDescent="0.2">
      <c r="A155" t="s">
        <v>193</v>
      </c>
      <c r="B155" t="s">
        <v>104</v>
      </c>
      <c r="C155" t="s">
        <v>115</v>
      </c>
      <c r="D155" s="1">
        <v>29.444414138793945</v>
      </c>
    </row>
    <row r="156" spans="1:4" x14ac:dyDescent="0.2">
      <c r="A156" t="s">
        <v>194</v>
      </c>
      <c r="B156" t="s">
        <v>107</v>
      </c>
      <c r="C156" t="s">
        <v>115</v>
      </c>
      <c r="D156" s="1">
        <v>29.254940032958984</v>
      </c>
    </row>
    <row r="157" spans="1:4" x14ac:dyDescent="0.2">
      <c r="A157" t="s">
        <v>195</v>
      </c>
      <c r="B157" t="s">
        <v>107</v>
      </c>
      <c r="C157" t="s">
        <v>115</v>
      </c>
      <c r="D157" s="1">
        <v>29.288276672363281</v>
      </c>
    </row>
    <row r="158" spans="1:4" x14ac:dyDescent="0.2">
      <c r="A158" t="s">
        <v>196</v>
      </c>
      <c r="B158" t="s">
        <v>78</v>
      </c>
      <c r="C158" t="s">
        <v>115</v>
      </c>
      <c r="D158" s="1">
        <v>28.72821044921875</v>
      </c>
    </row>
    <row r="159" spans="1:4" x14ac:dyDescent="0.2">
      <c r="A159" t="s">
        <v>197</v>
      </c>
      <c r="B159" t="s">
        <v>81</v>
      </c>
      <c r="C159" t="s">
        <v>115</v>
      </c>
      <c r="D159" s="1">
        <v>28.808050155639648</v>
      </c>
    </row>
    <row r="160" spans="1:4" x14ac:dyDescent="0.2">
      <c r="A160" t="s">
        <v>198</v>
      </c>
      <c r="B160" t="s">
        <v>84</v>
      </c>
      <c r="C160" t="s">
        <v>115</v>
      </c>
      <c r="D160" s="1">
        <v>30.673557281494141</v>
      </c>
    </row>
    <row r="161" spans="1:4" x14ac:dyDescent="0.2">
      <c r="A161" t="s">
        <v>199</v>
      </c>
      <c r="B161" t="s">
        <v>101</v>
      </c>
      <c r="C161" t="s">
        <v>115</v>
      </c>
      <c r="D161" s="1">
        <v>28.57496452331543</v>
      </c>
    </row>
    <row r="162" spans="1:4" x14ac:dyDescent="0.2">
      <c r="A162" t="s">
        <v>200</v>
      </c>
      <c r="B162" t="s">
        <v>104</v>
      </c>
      <c r="C162" t="s">
        <v>115</v>
      </c>
      <c r="D162" s="1">
        <v>29.423786163330078</v>
      </c>
    </row>
    <row r="163" spans="1:4" x14ac:dyDescent="0.2">
      <c r="A163" t="s">
        <v>201</v>
      </c>
      <c r="B163" t="s">
        <v>107</v>
      </c>
      <c r="C163" t="s">
        <v>115</v>
      </c>
      <c r="D163" s="1">
        <v>29.007137298583984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4F7B-85FA-4842-821A-83EB1DF1ED06}">
  <dimension ref="A1:Z49"/>
  <sheetViews>
    <sheetView workbookViewId="0">
      <selection sqref="A1:F35"/>
    </sheetView>
  </sheetViews>
  <sheetFormatPr baseColWidth="10" defaultRowHeight="16" x14ac:dyDescent="0.2"/>
  <sheetData>
    <row r="1" spans="1:26" x14ac:dyDescent="0.2">
      <c r="A1" s="2" t="s">
        <v>202</v>
      </c>
      <c r="B1" s="2" t="s">
        <v>4</v>
      </c>
      <c r="C1" s="2" t="s">
        <v>115</v>
      </c>
      <c r="D1" s="2" t="s">
        <v>204</v>
      </c>
      <c r="E1" s="2" t="s">
        <v>205</v>
      </c>
      <c r="F1" s="2" t="s">
        <v>211</v>
      </c>
      <c r="H1" s="2" t="s">
        <v>217</v>
      </c>
      <c r="I1" s="2" t="s">
        <v>202</v>
      </c>
      <c r="J1" s="2" t="s">
        <v>206</v>
      </c>
      <c r="K1" s="2" t="s">
        <v>207</v>
      </c>
      <c r="L1" s="2" t="s">
        <v>208</v>
      </c>
      <c r="M1" s="2" t="s">
        <v>209</v>
      </c>
      <c r="N1" s="2" t="s">
        <v>210</v>
      </c>
      <c r="O1" s="2" t="s">
        <v>211</v>
      </c>
    </row>
    <row r="2" spans="1:26" x14ac:dyDescent="0.2">
      <c r="A2" s="3" t="s">
        <v>78</v>
      </c>
      <c r="B2" s="3">
        <v>28.516261418660498</v>
      </c>
      <c r="C2" s="3">
        <v>28.9306138356527</v>
      </c>
      <c r="D2" s="3">
        <v>0.414352416992188</v>
      </c>
      <c r="E2">
        <f>2^-D2</f>
        <v>0.75035623171549615</v>
      </c>
      <c r="F2">
        <v>0.9412342718353276</v>
      </c>
      <c r="H2" t="s">
        <v>87</v>
      </c>
      <c r="I2" t="s">
        <v>212</v>
      </c>
      <c r="J2" s="3">
        <v>4</v>
      </c>
      <c r="K2" t="s">
        <v>215</v>
      </c>
      <c r="L2" s="3">
        <v>1692</v>
      </c>
      <c r="M2" s="3">
        <v>3384</v>
      </c>
      <c r="N2" s="3">
        <v>2</v>
      </c>
      <c r="O2">
        <f>LOG(N2,2)</f>
        <v>1</v>
      </c>
      <c r="Q2" t="str">
        <f>_xlfn.CONCAT(I2,"-",K2,"-",J2)</f>
        <v>150-R1-4</v>
      </c>
      <c r="R2" t="s">
        <v>87</v>
      </c>
    </row>
    <row r="3" spans="1:26" x14ac:dyDescent="0.2">
      <c r="A3" s="3" t="s">
        <v>81</v>
      </c>
      <c r="B3" s="3">
        <v>28.863953590393098</v>
      </c>
      <c r="C3" s="3">
        <v>28.8066514333089</v>
      </c>
      <c r="D3" s="3">
        <v>-5.7302157084148299E-2</v>
      </c>
      <c r="E3">
        <f t="shared" ref="E3:E35" si="0">2^-D3</f>
        <v>1.0405181691316994</v>
      </c>
      <c r="F3">
        <v>0.94207553842050362</v>
      </c>
      <c r="H3" t="s">
        <v>101</v>
      </c>
      <c r="I3" t="s">
        <v>212</v>
      </c>
      <c r="J3" s="3">
        <v>4</v>
      </c>
      <c r="K3" t="s">
        <v>216</v>
      </c>
      <c r="L3" s="3">
        <v>1565</v>
      </c>
      <c r="M3" s="3">
        <v>3125</v>
      </c>
      <c r="N3" s="3">
        <v>1.9968051118210901</v>
      </c>
      <c r="O3">
        <f t="shared" ref="O3:O37" si="1">LOG(N3,2)</f>
        <v>0.9976935326168338</v>
      </c>
      <c r="Q3" t="str">
        <f t="shared" ref="Q3:Q37" si="2">_xlfn.CONCAT(I3,"-",K3,"-",J3)</f>
        <v>150-R2-4</v>
      </c>
      <c r="R3" t="s">
        <v>101</v>
      </c>
    </row>
    <row r="4" spans="1:26" x14ac:dyDescent="0.2">
      <c r="A4" s="3" t="s">
        <v>84</v>
      </c>
      <c r="B4" s="3">
        <v>28.852607727050799</v>
      </c>
      <c r="C4" s="3">
        <v>30.7448533376058</v>
      </c>
      <c r="D4" s="3">
        <v>1.8922456105550101</v>
      </c>
      <c r="E4">
        <f t="shared" si="0"/>
        <v>0.26938742069376198</v>
      </c>
      <c r="F4">
        <v>1.4352865800597363</v>
      </c>
      <c r="H4" t="s">
        <v>104</v>
      </c>
      <c r="I4" t="s">
        <v>212</v>
      </c>
      <c r="J4" s="3">
        <v>5</v>
      </c>
      <c r="K4" t="s">
        <v>216</v>
      </c>
      <c r="L4" s="3">
        <v>2104</v>
      </c>
      <c r="M4" s="3">
        <v>3047</v>
      </c>
      <c r="N4" s="3">
        <v>1.4481939163498101</v>
      </c>
      <c r="O4">
        <f t="shared" si="1"/>
        <v>0.53425479539418352</v>
      </c>
      <c r="Q4" t="str">
        <f t="shared" si="2"/>
        <v>150-R2-5</v>
      </c>
      <c r="R4" t="s">
        <v>104</v>
      </c>
      <c r="W4">
        <v>0.75035623171549615</v>
      </c>
      <c r="X4">
        <v>0.9412342718353276</v>
      </c>
    </row>
    <row r="5" spans="1:26" x14ac:dyDescent="0.2">
      <c r="A5" s="3" t="s">
        <v>87</v>
      </c>
      <c r="B5" s="3">
        <v>28.9859476089478</v>
      </c>
      <c r="C5" s="3">
        <v>28.303623199462901</v>
      </c>
      <c r="D5" s="3">
        <v>-0.68232440948486295</v>
      </c>
      <c r="E5">
        <f t="shared" si="0"/>
        <v>1.6047231358303167</v>
      </c>
      <c r="F5">
        <v>1</v>
      </c>
      <c r="H5" t="s">
        <v>89</v>
      </c>
      <c r="I5" t="s">
        <v>212</v>
      </c>
      <c r="J5" s="3">
        <v>5</v>
      </c>
      <c r="K5" t="s">
        <v>215</v>
      </c>
      <c r="L5" s="3">
        <v>1841</v>
      </c>
      <c r="M5" s="3">
        <v>2958</v>
      </c>
      <c r="N5" s="3">
        <v>1.60673546985334</v>
      </c>
      <c r="O5">
        <f t="shared" si="1"/>
        <v>0.68413242574916078</v>
      </c>
      <c r="Q5" t="str">
        <f t="shared" si="2"/>
        <v>150-R1-5</v>
      </c>
      <c r="R5" t="s">
        <v>89</v>
      </c>
      <c r="W5">
        <v>1.0405181691316994</v>
      </c>
      <c r="X5">
        <v>0.94207553842050362</v>
      </c>
    </row>
    <row r="6" spans="1:26" x14ac:dyDescent="0.2">
      <c r="A6" s="3" t="s">
        <v>89</v>
      </c>
      <c r="B6" s="3">
        <v>28.474601745605501</v>
      </c>
      <c r="C6" s="3">
        <v>27.824335098266602</v>
      </c>
      <c r="D6" s="3">
        <v>-0.65026664733886697</v>
      </c>
      <c r="E6">
        <f t="shared" si="0"/>
        <v>1.5694582454443811</v>
      </c>
      <c r="F6">
        <v>0.68413242574916078</v>
      </c>
      <c r="H6" t="s">
        <v>107</v>
      </c>
      <c r="I6" t="s">
        <v>212</v>
      </c>
      <c r="J6" s="3">
        <v>6</v>
      </c>
      <c r="K6" t="s">
        <v>216</v>
      </c>
      <c r="L6" s="3">
        <v>1874</v>
      </c>
      <c r="M6" s="3">
        <v>4551</v>
      </c>
      <c r="N6" s="3">
        <v>2.4284951974386302</v>
      </c>
      <c r="O6">
        <f t="shared" si="1"/>
        <v>1.2800626333090006</v>
      </c>
      <c r="Q6" t="str">
        <f t="shared" si="2"/>
        <v>150-R2-6</v>
      </c>
      <c r="R6" t="s">
        <v>107</v>
      </c>
      <c r="W6">
        <v>0.26938742069376198</v>
      </c>
      <c r="X6">
        <v>1.4352865800597363</v>
      </c>
    </row>
    <row r="7" spans="1:26" x14ac:dyDescent="0.2">
      <c r="A7" s="3" t="s">
        <v>94</v>
      </c>
      <c r="B7" s="3">
        <v>30.071413993835399</v>
      </c>
      <c r="C7" s="3">
        <v>28.509301185607899</v>
      </c>
      <c r="D7" s="3">
        <v>-1.56211280822754</v>
      </c>
      <c r="H7" t="s">
        <v>92</v>
      </c>
      <c r="I7" t="s">
        <v>212</v>
      </c>
      <c r="J7" s="3">
        <v>6</v>
      </c>
      <c r="K7" t="s">
        <v>215</v>
      </c>
      <c r="L7" s="3">
        <v>1382</v>
      </c>
      <c r="M7" s="3">
        <v>3981</v>
      </c>
      <c r="N7" s="3">
        <v>2.8806078147612202</v>
      </c>
      <c r="O7">
        <f t="shared" si="1"/>
        <v>1.5263732557030933</v>
      </c>
      <c r="Q7" t="str">
        <f t="shared" si="2"/>
        <v>150-R1-6</v>
      </c>
      <c r="R7" t="s">
        <v>92</v>
      </c>
      <c r="W7">
        <v>1.6047231358303167</v>
      </c>
      <c r="X7">
        <v>1</v>
      </c>
    </row>
    <row r="8" spans="1:26" x14ac:dyDescent="0.2">
      <c r="A8" s="3" t="s">
        <v>96</v>
      </c>
      <c r="B8" s="3">
        <v>29.2815971374512</v>
      </c>
      <c r="C8" s="3">
        <v>28.8338460922241</v>
      </c>
      <c r="D8" s="3">
        <v>-0.447751045227051</v>
      </c>
      <c r="E8">
        <f t="shared" si="0"/>
        <v>1.3639124547023074</v>
      </c>
      <c r="F8">
        <v>0.70076833779421122</v>
      </c>
      <c r="H8" t="s">
        <v>81</v>
      </c>
      <c r="I8" t="s">
        <v>212</v>
      </c>
      <c r="J8" s="3">
        <v>2</v>
      </c>
      <c r="K8" t="s">
        <v>215</v>
      </c>
      <c r="L8" s="3">
        <v>1550</v>
      </c>
      <c r="M8" s="3">
        <v>2978</v>
      </c>
      <c r="N8" s="3">
        <v>1.9212903225806499</v>
      </c>
      <c r="O8">
        <f t="shared" si="1"/>
        <v>0.94207553842050362</v>
      </c>
      <c r="Q8" t="str">
        <f t="shared" si="2"/>
        <v>150-R1-2</v>
      </c>
      <c r="R8" t="s">
        <v>81</v>
      </c>
      <c r="W8">
        <v>1.5694582454443811</v>
      </c>
      <c r="X8">
        <v>0.68413242574916078</v>
      </c>
    </row>
    <row r="9" spans="1:26" x14ac:dyDescent="0.2">
      <c r="A9" s="3" t="s">
        <v>98</v>
      </c>
      <c r="B9" s="3">
        <v>28.188803672790499</v>
      </c>
      <c r="C9" s="3">
        <v>28.840329170227001</v>
      </c>
      <c r="D9" s="3">
        <v>0.65152549743652299</v>
      </c>
      <c r="E9">
        <f t="shared" si="0"/>
        <v>0.63660681326266666</v>
      </c>
      <c r="F9">
        <v>1.4021962865717803</v>
      </c>
      <c r="H9" t="s">
        <v>96</v>
      </c>
      <c r="I9" t="s">
        <v>212</v>
      </c>
      <c r="J9" s="3">
        <v>2</v>
      </c>
      <c r="K9" t="s">
        <v>216</v>
      </c>
      <c r="L9" s="3">
        <v>2026</v>
      </c>
      <c r="M9" s="3">
        <v>3293</v>
      </c>
      <c r="N9" s="3">
        <v>1.6253701875616999</v>
      </c>
      <c r="O9">
        <f t="shared" si="1"/>
        <v>0.70076833779421122</v>
      </c>
      <c r="Q9" t="str">
        <f t="shared" si="2"/>
        <v>150-R2-2</v>
      </c>
      <c r="R9" t="s">
        <v>96</v>
      </c>
      <c r="W9">
        <v>1.3639124547023074</v>
      </c>
      <c r="X9">
        <v>0.70076833779421122</v>
      </c>
    </row>
    <row r="10" spans="1:26" x14ac:dyDescent="0.2">
      <c r="A10" s="3" t="s">
        <v>101</v>
      </c>
      <c r="B10" s="3">
        <v>28.670202255248999</v>
      </c>
      <c r="C10" s="3">
        <v>28.767715454101602</v>
      </c>
      <c r="D10" s="3">
        <v>9.7513198852539104E-2</v>
      </c>
      <c r="E10">
        <f t="shared" si="0"/>
        <v>0.9346426653365264</v>
      </c>
      <c r="F10">
        <v>0.9976935326168338</v>
      </c>
      <c r="H10" t="s">
        <v>98</v>
      </c>
      <c r="I10" t="s">
        <v>212</v>
      </c>
      <c r="J10" s="3">
        <v>3</v>
      </c>
      <c r="K10" t="s">
        <v>216</v>
      </c>
      <c r="L10" s="3">
        <v>1594</v>
      </c>
      <c r="M10" s="3">
        <v>4213</v>
      </c>
      <c r="N10" s="3">
        <v>2.6430363864491802</v>
      </c>
      <c r="O10">
        <f t="shared" si="1"/>
        <v>1.4021962865717803</v>
      </c>
      <c r="Q10" t="str">
        <f t="shared" si="2"/>
        <v>150-R2-3</v>
      </c>
      <c r="R10" t="s">
        <v>98</v>
      </c>
      <c r="W10">
        <v>0.63660681326266666</v>
      </c>
      <c r="X10">
        <v>1.4021962865717803</v>
      </c>
    </row>
    <row r="11" spans="1:26" x14ac:dyDescent="0.2">
      <c r="A11" s="3" t="s">
        <v>104</v>
      </c>
      <c r="B11" s="3">
        <v>29.605543136596701</v>
      </c>
      <c r="C11" s="3">
        <v>29.362283706665</v>
      </c>
      <c r="D11" s="3">
        <v>-0.24325942993164101</v>
      </c>
      <c r="E11">
        <f t="shared" si="0"/>
        <v>1.1836638527497738</v>
      </c>
      <c r="F11">
        <v>0.53425479539418352</v>
      </c>
      <c r="H11" t="s">
        <v>84</v>
      </c>
      <c r="I11" t="s">
        <v>212</v>
      </c>
      <c r="J11" s="3">
        <v>3</v>
      </c>
      <c r="K11" t="s">
        <v>215</v>
      </c>
      <c r="L11" s="3">
        <v>1583</v>
      </c>
      <c r="M11" s="3">
        <v>4281</v>
      </c>
      <c r="N11" s="3">
        <v>2.7043588123815501</v>
      </c>
      <c r="O11">
        <f t="shared" si="1"/>
        <v>1.4352865800597363</v>
      </c>
      <c r="Q11" t="str">
        <f t="shared" si="2"/>
        <v>150-R1-3</v>
      </c>
      <c r="R11" t="s">
        <v>84</v>
      </c>
      <c r="W11">
        <v>0.9346426653365264</v>
      </c>
      <c r="X11">
        <v>0.9976935326168338</v>
      </c>
      <c r="Z11">
        <f>CORREL(W4:W36,X4:X36)</f>
        <v>-0.55632140156632748</v>
      </c>
    </row>
    <row r="12" spans="1:26" x14ac:dyDescent="0.2">
      <c r="A12" s="3" t="s">
        <v>107</v>
      </c>
      <c r="B12" s="3">
        <v>29.335739135742202</v>
      </c>
      <c r="C12" s="3">
        <v>29.1834513346354</v>
      </c>
      <c r="D12" s="3">
        <v>-0.15228780110677001</v>
      </c>
      <c r="E12">
        <f t="shared" si="0"/>
        <v>1.1113304042074166</v>
      </c>
      <c r="F12">
        <v>1.2800626333090006</v>
      </c>
      <c r="H12" t="s">
        <v>78</v>
      </c>
      <c r="I12" t="s">
        <v>212</v>
      </c>
      <c r="J12" s="3">
        <v>1</v>
      </c>
      <c r="K12" t="s">
        <v>215</v>
      </c>
      <c r="L12" s="3">
        <v>1879</v>
      </c>
      <c r="M12" s="3">
        <v>3608</v>
      </c>
      <c r="N12" s="3">
        <v>1.9201703033528501</v>
      </c>
      <c r="O12">
        <f t="shared" si="1"/>
        <v>0.9412342718353276</v>
      </c>
      <c r="Q12" t="str">
        <f t="shared" si="2"/>
        <v>150-R1-1</v>
      </c>
      <c r="R12" t="s">
        <v>78</v>
      </c>
      <c r="W12">
        <v>1.1836638527497738</v>
      </c>
      <c r="X12">
        <v>0.53425479539418352</v>
      </c>
    </row>
    <row r="13" spans="1:26" x14ac:dyDescent="0.2">
      <c r="A13" s="3" t="s">
        <v>3</v>
      </c>
      <c r="B13" s="3">
        <v>28.3472805023193</v>
      </c>
      <c r="C13" s="3">
        <v>32.717603047688797</v>
      </c>
      <c r="D13" s="3">
        <v>4.3703225453694703</v>
      </c>
      <c r="E13">
        <f t="shared" si="0"/>
        <v>4.8350595028855484E-2</v>
      </c>
      <c r="F13">
        <v>1.7910069279701204</v>
      </c>
      <c r="H13" t="s">
        <v>94</v>
      </c>
      <c r="I13" t="s">
        <v>212</v>
      </c>
      <c r="J13" s="3">
        <v>1</v>
      </c>
      <c r="K13" t="s">
        <v>216</v>
      </c>
      <c r="L13" s="3">
        <v>2195</v>
      </c>
      <c r="M13" s="3">
        <v>4364</v>
      </c>
      <c r="N13" s="3">
        <v>1.98815489749431</v>
      </c>
      <c r="O13">
        <f t="shared" si="1"/>
        <v>0.99143016190089006</v>
      </c>
      <c r="Q13" t="str">
        <f t="shared" si="2"/>
        <v>150-R2-1</v>
      </c>
      <c r="R13" t="s">
        <v>94</v>
      </c>
      <c r="W13">
        <v>1.1113304042074166</v>
      </c>
      <c r="X13">
        <v>1.2800626333090006</v>
      </c>
    </row>
    <row r="14" spans="1:26" x14ac:dyDescent="0.2">
      <c r="A14" s="3" t="s">
        <v>7</v>
      </c>
      <c r="B14" s="3">
        <v>27.920805931091301</v>
      </c>
      <c r="C14" s="3">
        <v>28.942294120788599</v>
      </c>
      <c r="D14" s="3">
        <v>1.0214881896972701</v>
      </c>
      <c r="E14">
        <f t="shared" si="0"/>
        <v>0.49260794798372082</v>
      </c>
      <c r="F14">
        <v>0.96404901740384852</v>
      </c>
      <c r="H14" t="s">
        <v>31</v>
      </c>
      <c r="I14" t="s">
        <v>213</v>
      </c>
      <c r="J14" s="3">
        <v>4</v>
      </c>
      <c r="K14" t="s">
        <v>216</v>
      </c>
      <c r="L14" s="3">
        <v>2273</v>
      </c>
      <c r="M14" s="3">
        <v>4732</v>
      </c>
      <c r="N14" s="3">
        <v>2.0818301803783501</v>
      </c>
      <c r="O14">
        <f t="shared" si="1"/>
        <v>1.0578523895219376</v>
      </c>
      <c r="Q14" t="str">
        <f t="shared" si="2"/>
        <v>50-R2-4</v>
      </c>
      <c r="R14" t="s">
        <v>31</v>
      </c>
      <c r="W14">
        <v>4.8350595028855484E-2</v>
      </c>
      <c r="X14">
        <v>1.7910069279701204</v>
      </c>
    </row>
    <row r="15" spans="1:26" x14ac:dyDescent="0.2">
      <c r="A15" s="3" t="s">
        <v>10</v>
      </c>
      <c r="B15" s="3">
        <v>28.359237670898398</v>
      </c>
      <c r="C15" s="3">
        <v>31.804083824157701</v>
      </c>
      <c r="D15" s="3">
        <v>3.44484615325928</v>
      </c>
      <c r="E15">
        <f t="shared" si="0"/>
        <v>9.1832831967205569E-2</v>
      </c>
      <c r="F15">
        <v>1.4303159840227351</v>
      </c>
      <c r="H15" t="s">
        <v>16</v>
      </c>
      <c r="I15" t="s">
        <v>213</v>
      </c>
      <c r="J15" s="3">
        <v>5</v>
      </c>
      <c r="K15" t="s">
        <v>215</v>
      </c>
      <c r="L15" s="3">
        <v>2159</v>
      </c>
      <c r="M15" s="3">
        <v>4178</v>
      </c>
      <c r="N15" s="3">
        <v>1.9351551644279801</v>
      </c>
      <c r="O15">
        <f t="shared" si="1"/>
        <v>0.95244924904460604</v>
      </c>
      <c r="Q15" t="str">
        <f t="shared" si="2"/>
        <v>50-R1-5</v>
      </c>
      <c r="R15" t="s">
        <v>16</v>
      </c>
      <c r="W15">
        <v>0.49260794798372082</v>
      </c>
      <c r="X15">
        <v>0.96404901740384852</v>
      </c>
    </row>
    <row r="16" spans="1:26" x14ac:dyDescent="0.2">
      <c r="A16" s="3" t="s">
        <v>13</v>
      </c>
      <c r="B16" s="3">
        <v>28.1529750823975</v>
      </c>
      <c r="C16" s="3">
        <v>29.981350580851199</v>
      </c>
      <c r="D16" s="3">
        <v>1.8283754984537799</v>
      </c>
      <c r="E16">
        <f t="shared" si="0"/>
        <v>0.28158150876307914</v>
      </c>
      <c r="F16">
        <v>1.2636389752801453</v>
      </c>
      <c r="H16" t="s">
        <v>13</v>
      </c>
      <c r="I16" t="s">
        <v>213</v>
      </c>
      <c r="J16" s="3">
        <v>4</v>
      </c>
      <c r="K16" t="s">
        <v>215</v>
      </c>
      <c r="L16" s="3">
        <v>2187</v>
      </c>
      <c r="M16" s="3">
        <v>5251</v>
      </c>
      <c r="N16" s="3">
        <v>2.4010059442158198</v>
      </c>
      <c r="O16">
        <f t="shared" si="1"/>
        <v>1.2636389752801453</v>
      </c>
      <c r="Q16" t="str">
        <f t="shared" si="2"/>
        <v>50-R1-4</v>
      </c>
      <c r="R16" t="s">
        <v>13</v>
      </c>
      <c r="W16">
        <v>9.1832831967205569E-2</v>
      </c>
      <c r="X16">
        <v>1.4303159840227351</v>
      </c>
    </row>
    <row r="17" spans="1:24" x14ac:dyDescent="0.2">
      <c r="A17" s="3" t="s">
        <v>16</v>
      </c>
      <c r="B17" s="3">
        <v>28.464856147766099</v>
      </c>
      <c r="C17" s="3">
        <v>29.600565910339402</v>
      </c>
      <c r="D17" s="3">
        <v>1.13570976257324</v>
      </c>
      <c r="E17">
        <f t="shared" si="0"/>
        <v>0.45511096080475977</v>
      </c>
      <c r="F17">
        <v>0.95244924904460604</v>
      </c>
      <c r="H17" t="s">
        <v>34</v>
      </c>
      <c r="I17" t="s">
        <v>213</v>
      </c>
      <c r="J17" s="3">
        <v>5</v>
      </c>
      <c r="K17" t="s">
        <v>216</v>
      </c>
      <c r="L17" s="3">
        <v>2228</v>
      </c>
      <c r="M17" s="3">
        <v>3378</v>
      </c>
      <c r="N17" s="3">
        <v>1.5161579892280099</v>
      </c>
      <c r="O17">
        <f t="shared" si="1"/>
        <v>0.60042009546135666</v>
      </c>
      <c r="Q17" t="str">
        <f t="shared" si="2"/>
        <v>50-R2-5</v>
      </c>
      <c r="R17" t="s">
        <v>34</v>
      </c>
      <c r="W17">
        <v>0.28158150876307914</v>
      </c>
      <c r="X17">
        <v>1.2636389752801453</v>
      </c>
    </row>
    <row r="18" spans="1:24" x14ac:dyDescent="0.2">
      <c r="A18" s="3" t="s">
        <v>19</v>
      </c>
      <c r="B18" s="3">
        <v>27.812380790710399</v>
      </c>
      <c r="C18" s="3">
        <v>31.758192698160801</v>
      </c>
      <c r="D18" s="3">
        <v>3.9458119074503601</v>
      </c>
      <c r="E18">
        <f t="shared" si="0"/>
        <v>6.4892164226604182E-2</v>
      </c>
      <c r="F18">
        <v>1.2199019801581232</v>
      </c>
      <c r="H18" t="s">
        <v>19</v>
      </c>
      <c r="I18" t="s">
        <v>213</v>
      </c>
      <c r="J18" s="3">
        <v>6</v>
      </c>
      <c r="K18" t="s">
        <v>215</v>
      </c>
      <c r="L18" s="3">
        <v>2402</v>
      </c>
      <c r="M18" s="3">
        <v>5595</v>
      </c>
      <c r="N18" s="3">
        <v>2.3293089092422998</v>
      </c>
      <c r="O18">
        <f t="shared" si="1"/>
        <v>1.2199019801581232</v>
      </c>
      <c r="Q18" t="str">
        <f t="shared" si="2"/>
        <v>50-R1-6</v>
      </c>
      <c r="R18" t="s">
        <v>19</v>
      </c>
      <c r="W18">
        <v>0.45511096080475977</v>
      </c>
      <c r="X18">
        <v>0.95244924904460604</v>
      </c>
    </row>
    <row r="19" spans="1:24" x14ac:dyDescent="0.2">
      <c r="A19" s="3" t="s">
        <v>22</v>
      </c>
      <c r="B19" s="3">
        <v>28.4993944168091</v>
      </c>
      <c r="C19" s="3">
        <v>30.419373512268098</v>
      </c>
      <c r="D19" s="3">
        <v>1.9199790954589799</v>
      </c>
      <c r="E19">
        <f t="shared" si="0"/>
        <v>0.26425833919576752</v>
      </c>
      <c r="F19">
        <v>1.1937871109161196</v>
      </c>
      <c r="H19" t="s">
        <v>37</v>
      </c>
      <c r="I19" t="s">
        <v>213</v>
      </c>
      <c r="J19" s="3">
        <v>6</v>
      </c>
      <c r="K19" t="s">
        <v>216</v>
      </c>
      <c r="L19" s="3">
        <v>1904</v>
      </c>
      <c r="M19" s="3">
        <v>4514</v>
      </c>
      <c r="N19" s="3">
        <v>2.3707983193277302</v>
      </c>
      <c r="O19">
        <f t="shared" si="1"/>
        <v>1.245372939883892</v>
      </c>
      <c r="Q19" t="str">
        <f t="shared" si="2"/>
        <v>50-R2-6</v>
      </c>
      <c r="R19" t="s">
        <v>37</v>
      </c>
      <c r="W19">
        <v>6.4892164226604182E-2</v>
      </c>
      <c r="X19">
        <v>1.2199019801581232</v>
      </c>
    </row>
    <row r="20" spans="1:24" x14ac:dyDescent="0.2">
      <c r="A20" s="3" t="s">
        <v>25</v>
      </c>
      <c r="B20" s="3">
        <v>28.5394611358643</v>
      </c>
      <c r="C20" s="3">
        <v>30.244177818298301</v>
      </c>
      <c r="D20" s="3">
        <v>1.70471668243408</v>
      </c>
      <c r="E20">
        <f t="shared" si="0"/>
        <v>0.30678148438300651</v>
      </c>
      <c r="F20">
        <v>1.0098577546897862</v>
      </c>
      <c r="H20" t="s">
        <v>25</v>
      </c>
      <c r="I20" t="s">
        <v>213</v>
      </c>
      <c r="J20" s="3">
        <v>2</v>
      </c>
      <c r="K20" t="s">
        <v>216</v>
      </c>
      <c r="L20" s="3">
        <v>1969</v>
      </c>
      <c r="M20" s="3">
        <v>3965</v>
      </c>
      <c r="N20" s="3">
        <v>2.0137125444388002</v>
      </c>
      <c r="O20">
        <f t="shared" si="1"/>
        <v>1.0098577546897862</v>
      </c>
      <c r="Q20" t="str">
        <f t="shared" si="2"/>
        <v>50-R2-2</v>
      </c>
      <c r="R20" t="s">
        <v>25</v>
      </c>
      <c r="W20">
        <v>0.26425833919576752</v>
      </c>
      <c r="X20">
        <v>1.1937871109161196</v>
      </c>
    </row>
    <row r="21" spans="1:24" x14ac:dyDescent="0.2">
      <c r="A21" s="3" t="s">
        <v>28</v>
      </c>
      <c r="B21" s="3">
        <v>28.638823191324899</v>
      </c>
      <c r="C21" s="3">
        <v>30.533453941345201</v>
      </c>
      <c r="D21" s="3">
        <v>1.8946307500203401</v>
      </c>
      <c r="E21">
        <f t="shared" si="0"/>
        <v>0.26894242316237099</v>
      </c>
      <c r="F21">
        <v>1.459023489680179</v>
      </c>
      <c r="H21" t="s">
        <v>10</v>
      </c>
      <c r="I21" t="s">
        <v>213</v>
      </c>
      <c r="J21" s="3">
        <v>3</v>
      </c>
      <c r="K21" t="s">
        <v>215</v>
      </c>
      <c r="L21" s="3">
        <v>2266</v>
      </c>
      <c r="M21" s="3">
        <v>6107</v>
      </c>
      <c r="N21" s="3">
        <v>2.6950573698146498</v>
      </c>
      <c r="O21">
        <f t="shared" si="1"/>
        <v>1.4303159840227351</v>
      </c>
      <c r="Q21" t="str">
        <f t="shared" si="2"/>
        <v>50-R1-3</v>
      </c>
      <c r="R21" t="s">
        <v>10</v>
      </c>
      <c r="W21">
        <v>0.30678148438300651</v>
      </c>
      <c r="X21">
        <v>1.0098577546897862</v>
      </c>
    </row>
    <row r="22" spans="1:24" x14ac:dyDescent="0.2">
      <c r="A22" s="3" t="s">
        <v>31</v>
      </c>
      <c r="B22" s="3">
        <v>29.0691242218018</v>
      </c>
      <c r="C22" s="3">
        <v>30.5648851394653</v>
      </c>
      <c r="D22" s="3">
        <v>1.49576091766357</v>
      </c>
      <c r="E22">
        <f t="shared" si="0"/>
        <v>0.35459376706326945</v>
      </c>
      <c r="F22">
        <v>1.0578523895219376</v>
      </c>
      <c r="H22" t="s">
        <v>7</v>
      </c>
      <c r="I22" t="s">
        <v>213</v>
      </c>
      <c r="J22" s="3">
        <v>2</v>
      </c>
      <c r="K22" t="s">
        <v>215</v>
      </c>
      <c r="L22" s="3">
        <v>2316</v>
      </c>
      <c r="M22" s="3">
        <v>4518</v>
      </c>
      <c r="N22" s="3">
        <v>1.95077720207254</v>
      </c>
      <c r="O22">
        <f t="shared" si="1"/>
        <v>0.96404901740384852</v>
      </c>
      <c r="Q22" t="str">
        <f t="shared" si="2"/>
        <v>50-R1-2</v>
      </c>
      <c r="R22" t="s">
        <v>7</v>
      </c>
      <c r="W22">
        <v>0.26894242316237099</v>
      </c>
      <c r="X22">
        <v>1.459023489680179</v>
      </c>
    </row>
    <row r="23" spans="1:24" x14ac:dyDescent="0.2">
      <c r="A23" s="3" t="s">
        <v>34</v>
      </c>
      <c r="B23" s="3">
        <v>29.232397715250698</v>
      </c>
      <c r="C23" s="3">
        <v>28.823159217834501</v>
      </c>
      <c r="D23" s="3">
        <v>-0.40923849741618001</v>
      </c>
      <c r="E23">
        <f t="shared" si="0"/>
        <v>1.3279846744456931</v>
      </c>
      <c r="F23">
        <v>0.60042009546135666</v>
      </c>
      <c r="H23" t="s">
        <v>28</v>
      </c>
      <c r="I23" t="s">
        <v>213</v>
      </c>
      <c r="J23" s="3">
        <v>3</v>
      </c>
      <c r="K23" t="s">
        <v>216</v>
      </c>
      <c r="L23" s="3">
        <v>1607</v>
      </c>
      <c r="M23" s="3">
        <v>4418</v>
      </c>
      <c r="N23" s="3">
        <v>2.7492221530802698</v>
      </c>
      <c r="O23">
        <f t="shared" si="1"/>
        <v>1.459023489680179</v>
      </c>
      <c r="Q23" t="str">
        <f t="shared" si="2"/>
        <v>50-R2-3</v>
      </c>
      <c r="R23" t="s">
        <v>28</v>
      </c>
      <c r="W23">
        <v>0.35459376706326945</v>
      </c>
      <c r="X23">
        <v>1.0578523895219376</v>
      </c>
    </row>
    <row r="24" spans="1:24" x14ac:dyDescent="0.2">
      <c r="A24" s="3" t="s">
        <v>37</v>
      </c>
      <c r="B24" s="3">
        <v>31.038136482238802</v>
      </c>
      <c r="C24" s="3">
        <v>31.2564194997152</v>
      </c>
      <c r="D24" s="3">
        <v>0.218283017476399</v>
      </c>
      <c r="E24">
        <f t="shared" si="0"/>
        <v>0.85958784197741944</v>
      </c>
      <c r="F24">
        <v>1.245372939883892</v>
      </c>
      <c r="H24" t="s">
        <v>22</v>
      </c>
      <c r="I24" t="s">
        <v>213</v>
      </c>
      <c r="J24" s="3">
        <v>1</v>
      </c>
      <c r="K24" t="s">
        <v>216</v>
      </c>
      <c r="L24" s="3">
        <v>2052</v>
      </c>
      <c r="M24" s="3">
        <v>4694</v>
      </c>
      <c r="N24" s="3">
        <v>2.28752436647174</v>
      </c>
      <c r="O24">
        <f t="shared" si="1"/>
        <v>1.1937871109161196</v>
      </c>
      <c r="Q24" t="str">
        <f t="shared" si="2"/>
        <v>50-R2-1</v>
      </c>
      <c r="R24" t="s">
        <v>22</v>
      </c>
      <c r="W24">
        <v>1.3279846744456931</v>
      </c>
      <c r="X24">
        <v>0.60042009546135666</v>
      </c>
    </row>
    <row r="25" spans="1:24" x14ac:dyDescent="0.2">
      <c r="A25" s="3" t="s">
        <v>44</v>
      </c>
      <c r="B25" s="3">
        <v>27.425289154052699</v>
      </c>
      <c r="C25" s="3">
        <v>27.5164496103923</v>
      </c>
      <c r="D25" s="3">
        <v>9.11604563395194E-2</v>
      </c>
      <c r="E25">
        <f t="shared" si="0"/>
        <v>0.93876733193841599</v>
      </c>
      <c r="F25">
        <v>1.789810561624555</v>
      </c>
      <c r="H25" t="s">
        <v>3</v>
      </c>
      <c r="I25" t="s">
        <v>213</v>
      </c>
      <c r="J25" s="3">
        <v>1</v>
      </c>
      <c r="K25" t="s">
        <v>215</v>
      </c>
      <c r="L25" s="3">
        <v>2130</v>
      </c>
      <c r="M25" s="3">
        <v>7371</v>
      </c>
      <c r="N25" s="3">
        <v>3.4605633802816902</v>
      </c>
      <c r="O25">
        <f t="shared" si="1"/>
        <v>1.7910069279701204</v>
      </c>
      <c r="Q25" t="str">
        <f t="shared" si="2"/>
        <v>50-R1-1</v>
      </c>
      <c r="R25" t="s">
        <v>3</v>
      </c>
      <c r="W25">
        <v>0.85958784197741944</v>
      </c>
      <c r="X25">
        <v>1.245372939883892</v>
      </c>
    </row>
    <row r="26" spans="1:24" x14ac:dyDescent="0.2">
      <c r="A26" s="3" t="s">
        <v>47</v>
      </c>
      <c r="B26" s="3">
        <v>28.6272163391113</v>
      </c>
      <c r="C26" s="3">
        <v>29.2700099945068</v>
      </c>
      <c r="D26" s="3">
        <v>0.64279365539550803</v>
      </c>
      <c r="E26">
        <f t="shared" si="0"/>
        <v>0.64047152895139281</v>
      </c>
      <c r="F26">
        <v>0.76779205230320136</v>
      </c>
      <c r="H26" t="s">
        <v>71</v>
      </c>
      <c r="I26" t="s">
        <v>214</v>
      </c>
      <c r="J26" s="3">
        <v>6</v>
      </c>
      <c r="K26" t="s">
        <v>216</v>
      </c>
      <c r="L26" s="3">
        <v>2117</v>
      </c>
      <c r="M26" s="3">
        <v>5003</v>
      </c>
      <c r="N26" s="3">
        <v>2.3632498819083598</v>
      </c>
      <c r="O26">
        <f t="shared" si="1"/>
        <v>1.2407721829851128</v>
      </c>
      <c r="Q26" t="str">
        <f t="shared" si="2"/>
        <v>75-R2-6</v>
      </c>
      <c r="R26" t="s">
        <v>71</v>
      </c>
      <c r="W26">
        <v>0.93876733193841599</v>
      </c>
      <c r="X26">
        <v>1.789810561624555</v>
      </c>
    </row>
    <row r="27" spans="1:24" x14ac:dyDescent="0.2">
      <c r="A27" s="3" t="s">
        <v>50</v>
      </c>
      <c r="B27" s="3">
        <v>28.413836479187001</v>
      </c>
      <c r="C27" s="3">
        <v>30.508335113525401</v>
      </c>
      <c r="D27" s="3">
        <v>2.0944986343383798</v>
      </c>
      <c r="E27">
        <f t="shared" si="0"/>
        <v>0.23414941937294315</v>
      </c>
      <c r="F27">
        <v>1.4862132513057618</v>
      </c>
      <c r="H27" t="s">
        <v>66</v>
      </c>
      <c r="I27" t="s">
        <v>214</v>
      </c>
      <c r="J27" s="3">
        <v>4</v>
      </c>
      <c r="K27" t="s">
        <v>216</v>
      </c>
      <c r="L27" s="3">
        <v>1785</v>
      </c>
      <c r="M27" s="3">
        <v>4742</v>
      </c>
      <c r="N27" s="3">
        <v>2.6565826330532198</v>
      </c>
      <c r="O27">
        <f t="shared" si="1"/>
        <v>1.4095715885655451</v>
      </c>
      <c r="Q27" t="str">
        <f t="shared" si="2"/>
        <v>75-R2-4</v>
      </c>
      <c r="R27" t="s">
        <v>66</v>
      </c>
      <c r="W27">
        <v>0.64047152895139281</v>
      </c>
      <c r="X27">
        <v>0.76779205230320136</v>
      </c>
    </row>
    <row r="28" spans="1:24" x14ac:dyDescent="0.2">
      <c r="A28" s="3" t="s">
        <v>53</v>
      </c>
      <c r="B28" s="3">
        <v>28.057291984558098</v>
      </c>
      <c r="C28" s="3">
        <v>29.7847146987915</v>
      </c>
      <c r="D28" s="3">
        <v>1.7274227142334</v>
      </c>
      <c r="E28">
        <f t="shared" si="0"/>
        <v>0.30199096357075234</v>
      </c>
      <c r="F28">
        <v>1.5129548944313738</v>
      </c>
      <c r="H28" t="s">
        <v>68</v>
      </c>
      <c r="I28" t="s">
        <v>214</v>
      </c>
      <c r="J28" s="3">
        <v>5</v>
      </c>
      <c r="K28" t="s">
        <v>216</v>
      </c>
      <c r="L28" s="3">
        <v>1965</v>
      </c>
      <c r="M28" s="3">
        <v>3666</v>
      </c>
      <c r="N28" s="3">
        <v>1.86564885496183</v>
      </c>
      <c r="O28">
        <f t="shared" si="1"/>
        <v>0.89967747339391524</v>
      </c>
      <c r="Q28" t="str">
        <f t="shared" si="2"/>
        <v>75-R2-5</v>
      </c>
      <c r="R28" t="s">
        <v>68</v>
      </c>
      <c r="W28">
        <v>0.23414941937294315</v>
      </c>
      <c r="X28">
        <v>1.4862132513057618</v>
      </c>
    </row>
    <row r="29" spans="1:24" x14ac:dyDescent="0.2">
      <c r="A29" s="3" t="s">
        <v>56</v>
      </c>
      <c r="B29" s="3">
        <v>28.6040649414062</v>
      </c>
      <c r="C29" s="3">
        <v>29.4333502451579</v>
      </c>
      <c r="D29" s="3">
        <v>0.82928530375162901</v>
      </c>
      <c r="E29">
        <f t="shared" si="0"/>
        <v>0.56280798256792874</v>
      </c>
      <c r="F29">
        <v>0.87392609517623221</v>
      </c>
      <c r="H29" t="s">
        <v>58</v>
      </c>
      <c r="I29" t="s">
        <v>214</v>
      </c>
      <c r="J29" s="3">
        <v>1</v>
      </c>
      <c r="K29" t="s">
        <v>216</v>
      </c>
      <c r="L29" s="3">
        <v>2071</v>
      </c>
      <c r="M29" s="3">
        <v>4900</v>
      </c>
      <c r="N29" s="3">
        <v>2.3660067600193102</v>
      </c>
      <c r="O29">
        <f t="shared" si="1"/>
        <v>1.2424541956694186</v>
      </c>
      <c r="Q29" t="str">
        <f t="shared" si="2"/>
        <v>75-R2-1</v>
      </c>
      <c r="R29" t="s">
        <v>58</v>
      </c>
      <c r="W29">
        <v>0.30199096357075234</v>
      </c>
      <c r="X29">
        <v>1.5129548944313738</v>
      </c>
    </row>
    <row r="30" spans="1:24" x14ac:dyDescent="0.2">
      <c r="A30" s="3" t="s">
        <v>58</v>
      </c>
      <c r="B30" s="3">
        <v>29.1614685058594</v>
      </c>
      <c r="C30" s="3">
        <v>31.8253126144409</v>
      </c>
      <c r="D30" s="3">
        <v>2.6638441085815399</v>
      </c>
      <c r="E30">
        <f t="shared" si="0"/>
        <v>0.15779855412559693</v>
      </c>
      <c r="F30">
        <v>1.2424541956694186</v>
      </c>
      <c r="H30" t="s">
        <v>60</v>
      </c>
      <c r="I30" t="s">
        <v>214</v>
      </c>
      <c r="J30" s="3">
        <v>2</v>
      </c>
      <c r="K30" t="s">
        <v>216</v>
      </c>
      <c r="L30" s="3">
        <v>2162</v>
      </c>
      <c r="M30" s="3">
        <v>4132</v>
      </c>
      <c r="N30" s="3">
        <v>1.9111933395004601</v>
      </c>
      <c r="O30">
        <f t="shared" si="1"/>
        <v>0.93447373113040744</v>
      </c>
      <c r="Q30" t="str">
        <f t="shared" si="2"/>
        <v>75-R2-2</v>
      </c>
      <c r="R30" t="s">
        <v>60</v>
      </c>
      <c r="W30">
        <v>0.56280798256792874</v>
      </c>
      <c r="X30">
        <v>0.87392609517623221</v>
      </c>
    </row>
    <row r="31" spans="1:24" x14ac:dyDescent="0.2">
      <c r="A31" s="3" t="s">
        <v>60</v>
      </c>
      <c r="B31" s="3">
        <v>28.166328430175799</v>
      </c>
      <c r="C31" s="3">
        <v>28.935818672180201</v>
      </c>
      <c r="D31" s="3">
        <v>0.76949024200439498</v>
      </c>
      <c r="E31">
        <f t="shared" si="0"/>
        <v>0.5866247144039286</v>
      </c>
      <c r="F31">
        <v>0.93447373113040744</v>
      </c>
      <c r="H31" t="s">
        <v>63</v>
      </c>
      <c r="I31" t="s">
        <v>214</v>
      </c>
      <c r="J31" s="3">
        <v>3</v>
      </c>
      <c r="K31" t="s">
        <v>216</v>
      </c>
      <c r="L31" s="3">
        <v>2566</v>
      </c>
      <c r="M31" s="3">
        <v>5822</v>
      </c>
      <c r="N31" s="3">
        <v>2.2689010132501899</v>
      </c>
      <c r="O31">
        <f t="shared" si="1"/>
        <v>1.1819936690330801</v>
      </c>
      <c r="Q31" t="str">
        <f t="shared" si="2"/>
        <v>75-R2-3</v>
      </c>
      <c r="R31" t="s">
        <v>63</v>
      </c>
      <c r="W31">
        <v>0.15779855412559693</v>
      </c>
      <c r="X31">
        <v>1.2424541956694186</v>
      </c>
    </row>
    <row r="32" spans="1:24" x14ac:dyDescent="0.2">
      <c r="A32" s="3" t="s">
        <v>63</v>
      </c>
      <c r="B32" s="3">
        <v>27.9242086410522</v>
      </c>
      <c r="C32" s="3">
        <v>30.159510930379199</v>
      </c>
      <c r="D32" s="3">
        <v>2.2353022893269801</v>
      </c>
      <c r="E32">
        <f t="shared" si="0"/>
        <v>0.21237674561156242</v>
      </c>
      <c r="F32">
        <v>1.1819936690330801</v>
      </c>
      <c r="H32" t="s">
        <v>153</v>
      </c>
      <c r="I32" t="s">
        <v>214</v>
      </c>
      <c r="J32" s="3">
        <v>6</v>
      </c>
      <c r="K32" t="s">
        <v>215</v>
      </c>
      <c r="L32" s="3">
        <v>1717</v>
      </c>
      <c r="M32" s="3">
        <v>4684</v>
      </c>
      <c r="N32" s="3">
        <v>2.7280139778683701</v>
      </c>
      <c r="O32">
        <f t="shared" si="1"/>
        <v>1.4478510364990784</v>
      </c>
      <c r="Q32" t="str">
        <f t="shared" si="2"/>
        <v>75-R1-6</v>
      </c>
      <c r="R32" t="s">
        <v>153</v>
      </c>
      <c r="W32">
        <v>0.5866247144039286</v>
      </c>
      <c r="X32">
        <v>0.93447373113040744</v>
      </c>
    </row>
    <row r="33" spans="1:24" x14ac:dyDescent="0.2">
      <c r="A33" s="3" t="s">
        <v>66</v>
      </c>
      <c r="B33" s="3">
        <v>29.1185817718506</v>
      </c>
      <c r="C33" s="3">
        <v>29.743466695149699</v>
      </c>
      <c r="D33" s="3">
        <v>0.62488492329915202</v>
      </c>
      <c r="E33">
        <f t="shared" si="0"/>
        <v>0.64847150065071191</v>
      </c>
      <c r="F33">
        <v>1.4095715885655451</v>
      </c>
      <c r="H33" t="s">
        <v>56</v>
      </c>
      <c r="I33" t="s">
        <v>214</v>
      </c>
      <c r="J33" s="3">
        <v>5</v>
      </c>
      <c r="K33" t="s">
        <v>215</v>
      </c>
      <c r="L33" s="3">
        <v>1691</v>
      </c>
      <c r="M33" s="3">
        <v>3099</v>
      </c>
      <c r="N33" s="3">
        <v>1.83264340626848</v>
      </c>
      <c r="O33">
        <f t="shared" si="1"/>
        <v>0.87392609517623221</v>
      </c>
      <c r="Q33" t="str">
        <f t="shared" si="2"/>
        <v>75-R1-5</v>
      </c>
      <c r="R33" t="s">
        <v>56</v>
      </c>
      <c r="W33">
        <v>0.21237674561156242</v>
      </c>
      <c r="X33">
        <v>1.1819936690330801</v>
      </c>
    </row>
    <row r="34" spans="1:24" x14ac:dyDescent="0.2">
      <c r="A34" s="3" t="s">
        <v>68</v>
      </c>
      <c r="B34" s="3">
        <v>29.302819252014199</v>
      </c>
      <c r="C34" s="3">
        <v>30.398594538370801</v>
      </c>
      <c r="D34" s="3">
        <v>1.0957752863566099</v>
      </c>
      <c r="E34">
        <f t="shared" si="0"/>
        <v>0.46788462077494808</v>
      </c>
      <c r="F34">
        <v>0.89967747339391524</v>
      </c>
      <c r="H34" t="s">
        <v>53</v>
      </c>
      <c r="I34" t="s">
        <v>214</v>
      </c>
      <c r="J34" s="3">
        <v>4</v>
      </c>
      <c r="K34" t="s">
        <v>215</v>
      </c>
      <c r="L34" s="3">
        <v>1561</v>
      </c>
      <c r="M34" s="3">
        <v>4455</v>
      </c>
      <c r="N34" s="3">
        <v>2.8539397821909001</v>
      </c>
      <c r="O34">
        <f t="shared" si="1"/>
        <v>1.5129548944313738</v>
      </c>
      <c r="Q34" t="str">
        <f t="shared" si="2"/>
        <v>75-R1-4</v>
      </c>
      <c r="R34" t="s">
        <v>53</v>
      </c>
      <c r="W34">
        <v>0.64847150065071191</v>
      </c>
      <c r="X34">
        <v>1.4095715885655451</v>
      </c>
    </row>
    <row r="35" spans="1:24" x14ac:dyDescent="0.2">
      <c r="A35" s="3" t="s">
        <v>71</v>
      </c>
      <c r="B35" s="3">
        <v>29.005559921264599</v>
      </c>
      <c r="C35" s="3">
        <v>30.181886672973601</v>
      </c>
      <c r="D35" s="3">
        <v>1.1763267517089799</v>
      </c>
      <c r="E35">
        <f t="shared" si="0"/>
        <v>0.44247665571844236</v>
      </c>
      <c r="F35">
        <v>1.2407721829851128</v>
      </c>
      <c r="H35" t="s">
        <v>44</v>
      </c>
      <c r="I35" t="s">
        <v>214</v>
      </c>
      <c r="J35" s="3">
        <v>1</v>
      </c>
      <c r="K35" t="s">
        <v>215</v>
      </c>
      <c r="L35" s="3">
        <v>1501</v>
      </c>
      <c r="M35" s="3">
        <v>5190</v>
      </c>
      <c r="N35" s="3">
        <v>3.4576948700866099</v>
      </c>
      <c r="O35">
        <f t="shared" si="1"/>
        <v>1.789810561624555</v>
      </c>
      <c r="Q35" t="str">
        <f t="shared" si="2"/>
        <v>75-R1-1</v>
      </c>
      <c r="R35" t="s">
        <v>44</v>
      </c>
      <c r="W35">
        <v>0.46788462077494808</v>
      </c>
      <c r="X35">
        <v>0.89967747339391524</v>
      </c>
    </row>
    <row r="36" spans="1:24" x14ac:dyDescent="0.2">
      <c r="H36" t="s">
        <v>50</v>
      </c>
      <c r="I36" t="s">
        <v>214</v>
      </c>
      <c r="J36" s="3">
        <v>3</v>
      </c>
      <c r="K36" t="s">
        <v>215</v>
      </c>
      <c r="L36" s="3">
        <v>1572</v>
      </c>
      <c r="M36" s="3">
        <v>4404</v>
      </c>
      <c r="N36" s="3">
        <v>2.80152671755725</v>
      </c>
      <c r="O36">
        <f t="shared" si="1"/>
        <v>1.4862132513057618</v>
      </c>
      <c r="Q36" t="str">
        <f t="shared" si="2"/>
        <v>75-R1-3</v>
      </c>
      <c r="R36" t="s">
        <v>50</v>
      </c>
      <c r="W36">
        <v>0.44247665571844236</v>
      </c>
      <c r="X36">
        <v>1.2407721829851128</v>
      </c>
    </row>
    <row r="37" spans="1:24" x14ac:dyDescent="0.2">
      <c r="H37" t="s">
        <v>47</v>
      </c>
      <c r="I37" t="s">
        <v>214</v>
      </c>
      <c r="J37" s="3">
        <v>2</v>
      </c>
      <c r="K37" t="s">
        <v>215</v>
      </c>
      <c r="L37" s="3">
        <v>1991</v>
      </c>
      <c r="M37" s="3">
        <v>3390</v>
      </c>
      <c r="N37" s="3">
        <v>1.7026619789050701</v>
      </c>
      <c r="O37">
        <f t="shared" si="1"/>
        <v>0.76779205230320136</v>
      </c>
      <c r="Q37" t="str">
        <f t="shared" si="2"/>
        <v>75-R1-2</v>
      </c>
      <c r="R37" t="s">
        <v>47</v>
      </c>
    </row>
    <row r="38" spans="1:24" x14ac:dyDescent="0.2">
      <c r="I38" s="3"/>
      <c r="J38" s="3"/>
      <c r="K38" s="3"/>
      <c r="L38" s="3"/>
      <c r="M38" s="3"/>
      <c r="N38" s="3"/>
    </row>
    <row r="39" spans="1:24" x14ac:dyDescent="0.2">
      <c r="I39" s="3"/>
      <c r="J39" s="3"/>
      <c r="K39" s="3"/>
      <c r="L39" s="3"/>
      <c r="M39" s="3"/>
      <c r="N39" s="3"/>
    </row>
    <row r="40" spans="1:24" x14ac:dyDescent="0.2">
      <c r="I40" s="3"/>
      <c r="J40" s="3"/>
      <c r="K40" s="3"/>
      <c r="L40" s="3"/>
      <c r="M40" s="3"/>
      <c r="N40" s="3"/>
    </row>
    <row r="41" spans="1:24" x14ac:dyDescent="0.2">
      <c r="I41" s="3"/>
      <c r="J41" s="3"/>
      <c r="K41" s="3"/>
      <c r="L41" s="3"/>
      <c r="M41" s="3"/>
      <c r="N41" s="3"/>
    </row>
    <row r="42" spans="1:24" x14ac:dyDescent="0.2">
      <c r="I42" s="3"/>
      <c r="J42" s="3"/>
      <c r="K42" s="3"/>
      <c r="L42" s="3"/>
      <c r="M42" s="3"/>
      <c r="N42" s="3"/>
    </row>
    <row r="43" spans="1:24" x14ac:dyDescent="0.2">
      <c r="I43" s="3"/>
      <c r="J43" s="3"/>
      <c r="K43" s="3"/>
      <c r="L43" s="3"/>
      <c r="M43" s="3"/>
      <c r="N43" s="3"/>
    </row>
    <row r="44" spans="1:24" x14ac:dyDescent="0.2">
      <c r="I44" s="3"/>
      <c r="J44" s="3"/>
      <c r="K44" s="3"/>
      <c r="L44" s="3"/>
      <c r="M44" s="3"/>
      <c r="N44" s="3"/>
    </row>
    <row r="45" spans="1:24" x14ac:dyDescent="0.2">
      <c r="I45" s="3"/>
      <c r="J45" s="3"/>
      <c r="K45" s="3"/>
      <c r="L45" s="3"/>
      <c r="M45" s="3"/>
      <c r="N45" s="3"/>
    </row>
    <row r="46" spans="1:24" x14ac:dyDescent="0.2">
      <c r="I46" s="3"/>
      <c r="J46" s="3"/>
      <c r="K46" s="3"/>
      <c r="L46" s="3"/>
      <c r="M46" s="3"/>
      <c r="N46" s="3"/>
    </row>
    <row r="47" spans="1:24" x14ac:dyDescent="0.2">
      <c r="I47" s="3"/>
      <c r="J47" s="3"/>
      <c r="K47" s="3"/>
      <c r="L47" s="3"/>
      <c r="M47" s="3"/>
      <c r="N47" s="3"/>
    </row>
    <row r="48" spans="1:24" x14ac:dyDescent="0.2">
      <c r="I48" s="3"/>
      <c r="J48" s="3"/>
      <c r="K48" s="3"/>
      <c r="L48" s="3"/>
      <c r="M48" s="3"/>
      <c r="N48" s="3"/>
    </row>
    <row r="49" spans="9:14" x14ac:dyDescent="0.2">
      <c r="I49" s="3"/>
      <c r="J49" s="3"/>
      <c r="K49" s="3"/>
      <c r="L49" s="3"/>
      <c r="M49" s="3"/>
      <c r="N4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3598-4224-D941-B949-8A7A1FA1547B}">
  <dimension ref="A1:F34"/>
  <sheetViews>
    <sheetView tabSelected="1" workbookViewId="0">
      <selection activeCell="J11" sqref="J11"/>
    </sheetView>
  </sheetViews>
  <sheetFormatPr baseColWidth="10" defaultRowHeight="16" x14ac:dyDescent="0.2"/>
  <sheetData>
    <row r="1" spans="1:6" x14ac:dyDescent="0.2">
      <c r="A1" s="2" t="s">
        <v>202</v>
      </c>
      <c r="B1" s="2" t="s">
        <v>4</v>
      </c>
      <c r="C1" s="2" t="s">
        <v>115</v>
      </c>
      <c r="D1" s="2" t="s">
        <v>204</v>
      </c>
      <c r="E1" s="2" t="s">
        <v>205</v>
      </c>
      <c r="F1" s="2" t="s">
        <v>211</v>
      </c>
    </row>
    <row r="2" spans="1:6" x14ac:dyDescent="0.2">
      <c r="A2" s="3" t="s">
        <v>78</v>
      </c>
      <c r="B2" s="3">
        <v>28.516261400000001</v>
      </c>
      <c r="C2" s="3">
        <v>28.9306138</v>
      </c>
      <c r="D2" s="3">
        <v>0.41435242</v>
      </c>
      <c r="E2" s="4">
        <v>0.75035622999999996</v>
      </c>
      <c r="F2" s="4">
        <v>0.94123427000000004</v>
      </c>
    </row>
    <row r="3" spans="1:6" x14ac:dyDescent="0.2">
      <c r="A3" s="3" t="s">
        <v>81</v>
      </c>
      <c r="B3" s="3">
        <v>28.863953599999999</v>
      </c>
      <c r="C3" s="3">
        <v>28.8066514</v>
      </c>
      <c r="D3" s="3">
        <v>-5.7302199999999998E-2</v>
      </c>
      <c r="E3" s="4">
        <v>1.0405181699999999</v>
      </c>
      <c r="F3" s="4">
        <v>0.94207554000000004</v>
      </c>
    </row>
    <row r="4" spans="1:6" x14ac:dyDescent="0.2">
      <c r="A4" s="3" t="s">
        <v>84</v>
      </c>
      <c r="B4" s="3">
        <v>28.8526077</v>
      </c>
      <c r="C4" s="3">
        <v>30.744853299999999</v>
      </c>
      <c r="D4" s="3">
        <v>1.89224561</v>
      </c>
      <c r="E4" s="4">
        <v>0.26938741999999999</v>
      </c>
      <c r="F4" s="4">
        <v>1.4352865800000001</v>
      </c>
    </row>
    <row r="5" spans="1:6" x14ac:dyDescent="0.2">
      <c r="A5" s="3" t="s">
        <v>87</v>
      </c>
      <c r="B5" s="3">
        <v>28.985947599999999</v>
      </c>
      <c r="C5" s="3">
        <v>28.303623200000001</v>
      </c>
      <c r="D5" s="3">
        <v>-0.68232440000000005</v>
      </c>
      <c r="E5" s="4">
        <v>1.6047231399999999</v>
      </c>
      <c r="F5" s="4">
        <v>1</v>
      </c>
    </row>
    <row r="6" spans="1:6" x14ac:dyDescent="0.2">
      <c r="A6" s="3" t="s">
        <v>89</v>
      </c>
      <c r="B6" s="3">
        <v>28.474601700000001</v>
      </c>
      <c r="C6" s="3">
        <v>27.824335099999999</v>
      </c>
      <c r="D6" s="3">
        <v>-0.65026660000000003</v>
      </c>
      <c r="E6" s="4">
        <v>1.5694582500000001</v>
      </c>
      <c r="F6" s="4">
        <v>0.68413243000000001</v>
      </c>
    </row>
    <row r="7" spans="1:6" x14ac:dyDescent="0.2">
      <c r="A7" s="3" t="s">
        <v>96</v>
      </c>
      <c r="B7" s="3">
        <v>29.281597099999999</v>
      </c>
      <c r="C7" s="3">
        <v>28.833846099999999</v>
      </c>
      <c r="D7" s="3">
        <v>-0.44775100000000001</v>
      </c>
      <c r="E7" s="4">
        <v>1.3639124499999999</v>
      </c>
      <c r="F7" s="4">
        <v>0.70076833999999999</v>
      </c>
    </row>
    <row r="8" spans="1:6" x14ac:dyDescent="0.2">
      <c r="A8" s="3" t="s">
        <v>98</v>
      </c>
      <c r="B8" s="3">
        <v>28.188803700000001</v>
      </c>
      <c r="C8" s="3">
        <v>28.840329199999999</v>
      </c>
      <c r="D8" s="3">
        <v>0.65152549999999998</v>
      </c>
      <c r="E8" s="4">
        <v>0.63660680999999997</v>
      </c>
      <c r="F8" s="4">
        <v>1.40219629</v>
      </c>
    </row>
    <row r="9" spans="1:6" x14ac:dyDescent="0.2">
      <c r="A9" s="3" t="s">
        <v>101</v>
      </c>
      <c r="B9" s="3">
        <v>28.6702023</v>
      </c>
      <c r="C9" s="3">
        <v>28.767715500000001</v>
      </c>
      <c r="D9" s="3">
        <v>9.7513199999999994E-2</v>
      </c>
      <c r="E9" s="4">
        <v>0.93464267000000001</v>
      </c>
      <c r="F9" s="4">
        <v>0.99769353000000005</v>
      </c>
    </row>
    <row r="10" spans="1:6" x14ac:dyDescent="0.2">
      <c r="A10" s="3" t="s">
        <v>104</v>
      </c>
      <c r="B10" s="3">
        <v>29.605543099999998</v>
      </c>
      <c r="C10" s="3">
        <v>29.362283699999999</v>
      </c>
      <c r="D10" s="3">
        <v>-0.24325939999999999</v>
      </c>
      <c r="E10" s="4">
        <v>1.1836638500000001</v>
      </c>
      <c r="F10" s="4">
        <v>0.53425480000000003</v>
      </c>
    </row>
    <row r="11" spans="1:6" x14ac:dyDescent="0.2">
      <c r="A11" s="3" t="s">
        <v>107</v>
      </c>
      <c r="B11" s="3">
        <v>29.335739100000001</v>
      </c>
      <c r="C11" s="3">
        <v>29.183451300000002</v>
      </c>
      <c r="D11" s="3">
        <v>-0.1522878</v>
      </c>
      <c r="E11" s="4">
        <v>1.1113303999999999</v>
      </c>
      <c r="F11" s="4">
        <v>1.28006263</v>
      </c>
    </row>
    <row r="12" spans="1:6" x14ac:dyDescent="0.2">
      <c r="A12" s="3" t="s">
        <v>3</v>
      </c>
      <c r="B12" s="3">
        <v>28.3472805</v>
      </c>
      <c r="C12" s="3">
        <v>32.717602999999997</v>
      </c>
      <c r="D12" s="3">
        <v>4.37032255</v>
      </c>
      <c r="E12" s="4">
        <v>4.8350600000000001E-2</v>
      </c>
      <c r="F12" s="4">
        <v>1.79100693</v>
      </c>
    </row>
    <row r="13" spans="1:6" x14ac:dyDescent="0.2">
      <c r="A13" s="3" t="s">
        <v>7</v>
      </c>
      <c r="B13" s="3">
        <v>27.920805900000001</v>
      </c>
      <c r="C13" s="3">
        <v>28.942294100000002</v>
      </c>
      <c r="D13" s="3">
        <v>1.0214881899999999</v>
      </c>
      <c r="E13" s="4">
        <v>0.49260795000000002</v>
      </c>
      <c r="F13" s="4">
        <v>0.96404902000000003</v>
      </c>
    </row>
    <row r="14" spans="1:6" x14ac:dyDescent="0.2">
      <c r="A14" s="3" t="s">
        <v>10</v>
      </c>
      <c r="B14" s="3">
        <v>28.359237700000001</v>
      </c>
      <c r="C14" s="3">
        <v>31.804083800000001</v>
      </c>
      <c r="D14" s="3">
        <v>3.4448461500000001</v>
      </c>
      <c r="E14" s="4">
        <v>9.1832830000000004E-2</v>
      </c>
      <c r="F14" s="4">
        <v>1.43031598</v>
      </c>
    </row>
    <row r="15" spans="1:6" x14ac:dyDescent="0.2">
      <c r="A15" s="3" t="s">
        <v>13</v>
      </c>
      <c r="B15" s="3">
        <v>28.152975099999999</v>
      </c>
      <c r="C15" s="3">
        <v>29.981350599999999</v>
      </c>
      <c r="D15" s="3">
        <v>1.8283754999999999</v>
      </c>
      <c r="E15" s="4">
        <v>0.28158150999999998</v>
      </c>
      <c r="F15" s="4">
        <v>1.2636389800000001</v>
      </c>
    </row>
    <row r="16" spans="1:6" x14ac:dyDescent="0.2">
      <c r="A16" s="3" t="s">
        <v>16</v>
      </c>
      <c r="B16" s="3">
        <v>28.464856099999999</v>
      </c>
      <c r="C16" s="3">
        <v>29.600565899999999</v>
      </c>
      <c r="D16" s="3">
        <v>1.1357097599999999</v>
      </c>
      <c r="E16" s="4">
        <v>0.45511096000000001</v>
      </c>
      <c r="F16" s="4">
        <v>0.95244925000000003</v>
      </c>
    </row>
    <row r="17" spans="1:6" x14ac:dyDescent="0.2">
      <c r="A17" s="3" t="s">
        <v>19</v>
      </c>
      <c r="B17" s="3">
        <v>27.8123808</v>
      </c>
      <c r="C17" s="3">
        <v>31.758192699999999</v>
      </c>
      <c r="D17" s="3">
        <v>3.9458119100000002</v>
      </c>
      <c r="E17" s="4">
        <v>6.4892160000000004E-2</v>
      </c>
      <c r="F17" s="4">
        <v>1.2199019799999999</v>
      </c>
    </row>
    <row r="18" spans="1:6" x14ac:dyDescent="0.2">
      <c r="A18" s="3" t="s">
        <v>22</v>
      </c>
      <c r="B18" s="3">
        <v>28.4993944</v>
      </c>
      <c r="C18" s="3">
        <v>30.419373499999999</v>
      </c>
      <c r="D18" s="3">
        <v>1.9199790999999999</v>
      </c>
      <c r="E18" s="4">
        <v>0.26425833999999998</v>
      </c>
      <c r="F18" s="4">
        <v>1.1937871099999999</v>
      </c>
    </row>
    <row r="19" spans="1:6" x14ac:dyDescent="0.2">
      <c r="A19" s="3" t="s">
        <v>25</v>
      </c>
      <c r="B19" s="3">
        <v>28.5394611</v>
      </c>
      <c r="C19" s="3">
        <v>30.244177799999999</v>
      </c>
      <c r="D19" s="3">
        <v>1.70471668</v>
      </c>
      <c r="E19" s="4">
        <v>0.30678148</v>
      </c>
      <c r="F19" s="4">
        <v>1.0098577500000001</v>
      </c>
    </row>
    <row r="20" spans="1:6" x14ac:dyDescent="0.2">
      <c r="A20" s="3" t="s">
        <v>28</v>
      </c>
      <c r="B20" s="3">
        <v>28.638823200000001</v>
      </c>
      <c r="C20" s="3">
        <v>30.533453900000001</v>
      </c>
      <c r="D20" s="3">
        <v>1.8946307499999999</v>
      </c>
      <c r="E20" s="4">
        <v>0.26894242000000002</v>
      </c>
      <c r="F20" s="4">
        <v>1.4590234900000001</v>
      </c>
    </row>
    <row r="21" spans="1:6" x14ac:dyDescent="0.2">
      <c r="A21" s="3" t="s">
        <v>31</v>
      </c>
      <c r="B21" s="3">
        <v>29.069124200000001</v>
      </c>
      <c r="C21" s="3">
        <v>30.564885100000001</v>
      </c>
      <c r="D21" s="3">
        <v>1.4957609199999999</v>
      </c>
      <c r="E21" s="4">
        <v>0.35459376999999997</v>
      </c>
      <c r="F21" s="4">
        <v>1.0578523900000001</v>
      </c>
    </row>
    <row r="22" spans="1:6" x14ac:dyDescent="0.2">
      <c r="A22" s="3" t="s">
        <v>34</v>
      </c>
      <c r="B22" s="3">
        <v>29.2323977</v>
      </c>
      <c r="C22" s="3">
        <v>28.823159199999999</v>
      </c>
      <c r="D22" s="3">
        <v>-0.40923850000000001</v>
      </c>
      <c r="E22" s="4">
        <v>1.32798467</v>
      </c>
      <c r="F22" s="4">
        <v>0.60042010000000001</v>
      </c>
    </row>
    <row r="23" spans="1:6" x14ac:dyDescent="0.2">
      <c r="A23" s="3" t="s">
        <v>37</v>
      </c>
      <c r="B23" s="3">
        <v>31.0381365</v>
      </c>
      <c r="C23" s="3">
        <v>31.2564195</v>
      </c>
      <c r="D23" s="3">
        <v>0.21828301999999999</v>
      </c>
      <c r="E23" s="4">
        <v>0.85958783999999999</v>
      </c>
      <c r="F23" s="4">
        <v>1.24537294</v>
      </c>
    </row>
    <row r="24" spans="1:6" x14ac:dyDescent="0.2">
      <c r="A24" s="3" t="s">
        <v>44</v>
      </c>
      <c r="B24" s="3">
        <v>27.425289200000002</v>
      </c>
      <c r="C24" s="3">
        <v>27.516449600000001</v>
      </c>
      <c r="D24" s="3">
        <v>9.1160459999999999E-2</v>
      </c>
      <c r="E24" s="4">
        <v>0.93876733000000001</v>
      </c>
      <c r="F24" s="4">
        <v>1.7898105600000001</v>
      </c>
    </row>
    <row r="25" spans="1:6" x14ac:dyDescent="0.2">
      <c r="A25" s="3" t="s">
        <v>47</v>
      </c>
      <c r="B25" s="3">
        <v>28.627216300000001</v>
      </c>
      <c r="C25" s="3">
        <v>29.270009999999999</v>
      </c>
      <c r="D25" s="3">
        <v>0.64279366000000004</v>
      </c>
      <c r="E25" s="4">
        <v>0.64047153000000001</v>
      </c>
      <c r="F25" s="4">
        <v>0.76779204999999995</v>
      </c>
    </row>
    <row r="26" spans="1:6" x14ac:dyDescent="0.2">
      <c r="A26" s="3" t="s">
        <v>50</v>
      </c>
      <c r="B26" s="3">
        <v>28.413836499999999</v>
      </c>
      <c r="C26" s="3">
        <v>30.5083351</v>
      </c>
      <c r="D26" s="3">
        <v>2.0944986299999999</v>
      </c>
      <c r="E26" s="4">
        <v>0.23414942</v>
      </c>
      <c r="F26" s="4">
        <v>1.48621325</v>
      </c>
    </row>
    <row r="27" spans="1:6" x14ac:dyDescent="0.2">
      <c r="A27" s="3" t="s">
        <v>53</v>
      </c>
      <c r="B27" s="3">
        <v>28.057292</v>
      </c>
      <c r="C27" s="3">
        <v>29.784714699999999</v>
      </c>
      <c r="D27" s="3">
        <v>1.7274227099999999</v>
      </c>
      <c r="E27" s="4">
        <v>0.30199095999999997</v>
      </c>
      <c r="F27" s="4">
        <v>1.5129548900000001</v>
      </c>
    </row>
    <row r="28" spans="1:6" x14ac:dyDescent="0.2">
      <c r="A28" s="3" t="s">
        <v>56</v>
      </c>
      <c r="B28" s="3">
        <v>28.604064900000001</v>
      </c>
      <c r="C28" s="3">
        <v>29.4333502</v>
      </c>
      <c r="D28" s="3">
        <v>0.8292853</v>
      </c>
      <c r="E28" s="4">
        <v>0.56280797999999999</v>
      </c>
      <c r="F28" s="4">
        <v>0.87392610000000004</v>
      </c>
    </row>
    <row r="29" spans="1:6" x14ac:dyDescent="0.2">
      <c r="A29" s="3" t="s">
        <v>58</v>
      </c>
      <c r="B29" s="3">
        <v>29.161468500000002</v>
      </c>
      <c r="C29" s="3">
        <v>31.8253126</v>
      </c>
      <c r="D29" s="3">
        <v>2.6638441099999999</v>
      </c>
      <c r="E29" s="4">
        <v>0.15779855000000001</v>
      </c>
      <c r="F29" s="4">
        <v>1.2424542000000001</v>
      </c>
    </row>
    <row r="30" spans="1:6" x14ac:dyDescent="0.2">
      <c r="A30" s="3" t="s">
        <v>60</v>
      </c>
      <c r="B30" s="3">
        <v>28.166328400000001</v>
      </c>
      <c r="C30" s="3">
        <v>28.935818699999999</v>
      </c>
      <c r="D30" s="3">
        <v>0.76949023999999999</v>
      </c>
      <c r="E30" s="4">
        <v>0.58662471000000005</v>
      </c>
      <c r="F30" s="4">
        <v>0.93447373</v>
      </c>
    </row>
    <row r="31" spans="1:6" x14ac:dyDescent="0.2">
      <c r="A31" s="3" t="s">
        <v>63</v>
      </c>
      <c r="B31" s="3">
        <v>27.9242086</v>
      </c>
      <c r="C31" s="3">
        <v>30.159510900000001</v>
      </c>
      <c r="D31" s="3">
        <v>2.2353022899999999</v>
      </c>
      <c r="E31" s="4">
        <v>0.21237675</v>
      </c>
      <c r="F31" s="4">
        <v>1.18199367</v>
      </c>
    </row>
    <row r="32" spans="1:6" x14ac:dyDescent="0.2">
      <c r="A32" s="3" t="s">
        <v>66</v>
      </c>
      <c r="B32" s="3">
        <v>29.118581800000001</v>
      </c>
      <c r="C32" s="3">
        <v>29.743466699999999</v>
      </c>
      <c r="D32" s="3">
        <v>0.62488491999999995</v>
      </c>
      <c r="E32" s="4">
        <v>0.64847149999999998</v>
      </c>
      <c r="F32" s="4">
        <v>1.4095715900000001</v>
      </c>
    </row>
    <row r="33" spans="1:6" x14ac:dyDescent="0.2">
      <c r="A33" s="3" t="s">
        <v>68</v>
      </c>
      <c r="B33" s="3">
        <v>29.302819299999999</v>
      </c>
      <c r="C33" s="3">
        <v>30.398594500000002</v>
      </c>
      <c r="D33" s="3">
        <v>1.09577529</v>
      </c>
      <c r="E33" s="4">
        <v>0.46788461999999997</v>
      </c>
      <c r="F33" s="4">
        <v>0.89967746999999998</v>
      </c>
    </row>
    <row r="34" spans="1:6" x14ac:dyDescent="0.2">
      <c r="A34" s="3" t="s">
        <v>71</v>
      </c>
      <c r="B34" s="3">
        <v>29.005559900000002</v>
      </c>
      <c r="C34" s="3">
        <v>30.1818867</v>
      </c>
      <c r="D34" s="3">
        <v>1.1763267500000001</v>
      </c>
      <c r="E34" s="4">
        <v>0.44247666000000002</v>
      </c>
      <c r="F34" s="4">
        <v>1.24077218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correl_input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Arijit</dc:creator>
  <cp:lastModifiedBy>Mukherjee, Arijit</cp:lastModifiedBy>
  <dcterms:created xsi:type="dcterms:W3CDTF">2025-11-24T14:16:07Z</dcterms:created>
  <dcterms:modified xsi:type="dcterms:W3CDTF">2025-11-24T15:09:03Z</dcterms:modified>
</cp:coreProperties>
</file>